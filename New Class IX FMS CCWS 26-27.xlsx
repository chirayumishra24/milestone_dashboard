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 2" sheetId="1" r:id="rId5"/>
    <sheet state="visible" name="actual data" sheetId="2" r:id="rId6"/>
    <sheet state="visible" name="STEP 1 TARGET SHEET" sheetId="3" r:id="rId7"/>
    <sheet state="visible" name="FMS" sheetId="4" r:id="rId8"/>
  </sheets>
  <definedNames/>
  <calcPr/>
</workbook>
</file>

<file path=xl/sharedStrings.xml><?xml version="1.0" encoding="utf-8"?>
<sst xmlns="http://schemas.openxmlformats.org/spreadsheetml/2006/main" count="2565" uniqueCount="542">
  <si>
    <t>STEP 1</t>
  </si>
  <si>
    <t>New Class IX FMS CCWS 26-27</t>
  </si>
  <si>
    <t>IX PLANNAR</t>
  </si>
  <si>
    <t>Sr. No.</t>
  </si>
  <si>
    <t>Step 0</t>
  </si>
  <si>
    <t>Enrollment No.</t>
  </si>
  <si>
    <t xml:space="preserve">What </t>
  </si>
  <si>
    <t>Name</t>
  </si>
  <si>
    <t>Triggering of the FMS</t>
  </si>
  <si>
    <t>Gender</t>
  </si>
  <si>
    <t>Who</t>
  </si>
  <si>
    <t>Total of 
 Eng 100</t>
  </si>
  <si>
    <t>Total of 
 Hin 100</t>
  </si>
  <si>
    <t>PC</t>
  </si>
  <si>
    <t>Total of 
 Sans 100</t>
  </si>
  <si>
    <t>Total of 
 Fr 100</t>
  </si>
  <si>
    <t>Total of 
 Mths 100</t>
  </si>
  <si>
    <t>Total of 
 Sc 100</t>
  </si>
  <si>
    <t>Total of 
 Sst 100</t>
  </si>
  <si>
    <t xml:space="preserve">How </t>
  </si>
  <si>
    <t>Manual</t>
  </si>
  <si>
    <t xml:space="preserve">VIII </t>
  </si>
  <si>
    <t>Total of 
 Comp 100</t>
  </si>
  <si>
    <t>% Marks</t>
  </si>
  <si>
    <t>Remarks</t>
  </si>
  <si>
    <t>When</t>
  </si>
  <si>
    <t xml:space="preserve">In the 1st week of October </t>
  </si>
  <si>
    <t>Google Question</t>
  </si>
  <si>
    <t>2019-2020/0339</t>
  </si>
  <si>
    <t xml:space="preserve">IX </t>
  </si>
  <si>
    <t>RASHI GUPTA</t>
  </si>
  <si>
    <t xml:space="preserve">Step 1 </t>
  </si>
  <si>
    <t>F</t>
  </si>
  <si>
    <t>A1 (98 )</t>
  </si>
  <si>
    <t>A1 (95 )</t>
  </si>
  <si>
    <t xml:space="preserve">Compiling data of Class VIII Half yearly  Result and sharing it with Head Coordinators </t>
  </si>
  <si>
    <t>A1 (100 )</t>
  </si>
  <si>
    <t>E2 (0 )</t>
  </si>
  <si>
    <t>A1 (92 )</t>
  </si>
  <si>
    <t>Back Office (Suman Ma'am)</t>
  </si>
  <si>
    <t>Commendable Performance</t>
  </si>
  <si>
    <t xml:space="preserve">IX OVER ALL TARGET </t>
  </si>
  <si>
    <t>Within 10 days of Class VIII Result OF HALF YEARLY</t>
  </si>
  <si>
    <t>2022-2023/0146</t>
  </si>
  <si>
    <t>DAKSH TULSIANI</t>
  </si>
  <si>
    <t>M</t>
  </si>
  <si>
    <t>Status: Done</t>
  </si>
  <si>
    <t>A2 (87 )</t>
  </si>
  <si>
    <t>A1 (97 )</t>
  </si>
  <si>
    <t>A1 (93 )</t>
  </si>
  <si>
    <t>A1 (96 )</t>
  </si>
  <si>
    <t>2018-2019/0153</t>
  </si>
  <si>
    <t>MANVI KHANDELWAL</t>
  </si>
  <si>
    <t>Step 2</t>
  </si>
  <si>
    <t>A1 (91 )</t>
  </si>
  <si>
    <t>A1 (94 )</t>
  </si>
  <si>
    <t>A1 (99 )</t>
  </si>
  <si>
    <t>Over All
(HALF YEARLY)</t>
  </si>
  <si>
    <t>2018-2019/0260</t>
  </si>
  <si>
    <t>SHASHWAT MITTAL</t>
  </si>
  <si>
    <t>A2 (86 )</t>
  </si>
  <si>
    <t>A2 (88 )</t>
  </si>
  <si>
    <t>2023-2024/0254</t>
  </si>
  <si>
    <t>RITSIKA KATIYAR</t>
  </si>
  <si>
    <t>TARGET FOR 
(ANNUAL)</t>
  </si>
  <si>
    <t>A2 (89 )</t>
  </si>
  <si>
    <t xml:space="preserve">Anaylsis of Class VIII Half Result and setting Class VIII ANNUAL  target  and IX grade target and handover to Vice Principal Mam  after discussion with Head coordinator maam </t>
  </si>
  <si>
    <t xml:space="preserve">ACTUAL TARGET OF ANNUALS </t>
  </si>
  <si>
    <t>VIII
Over All
(HALF YEARLY)</t>
  </si>
  <si>
    <t>Head Coordinators along with coordinator of VIII and IX</t>
  </si>
  <si>
    <t>2019-2020/0368</t>
  </si>
  <si>
    <t>AARAV SHARMA</t>
  </si>
  <si>
    <t>A2 (85 )</t>
  </si>
  <si>
    <t>2018-2019/0050</t>
  </si>
  <si>
    <t>MUDITA SHARMA</t>
  </si>
  <si>
    <t>% OF STUDENTS</t>
  </si>
  <si>
    <t xml:space="preserve">No. of students
PRE-MID TERM
target </t>
  </si>
  <si>
    <t>2018-2019/0449</t>
  </si>
  <si>
    <t>ARNAV MUNDHRA</t>
  </si>
  <si>
    <t>Within 3 days of step 1</t>
  </si>
  <si>
    <t>2016-2017/0204</t>
  </si>
  <si>
    <t>MAHEEP POONIA</t>
  </si>
  <si>
    <t xml:space="preserve">No. of students
PRE-MID TERM ACTUAL RESULT 
</t>
  </si>
  <si>
    <t>Step 3</t>
  </si>
  <si>
    <t>Discussing the range of difference in the analysis sheet and analysing the data with VP/P</t>
  </si>
  <si>
    <t>B1 (77 )</t>
  </si>
  <si>
    <t>target</t>
  </si>
  <si>
    <t>2022-2023/0287</t>
  </si>
  <si>
    <t>VINAYA MITTAL</t>
  </si>
  <si>
    <t>actual</t>
  </si>
  <si>
    <t>A2 (90 )</t>
  </si>
  <si>
    <t xml:space="preserve">DEVIATION </t>
  </si>
  <si>
    <t xml:space="preserve">MID TERM
target </t>
  </si>
  <si>
    <t>Head Coordinators along with coordinator of VIII and IX along with P/VP</t>
  </si>
  <si>
    <t>B1 (80 )</t>
  </si>
  <si>
    <t xml:space="preserve">HY </t>
  </si>
  <si>
    <t xml:space="preserve">POST MID TERM </t>
  </si>
  <si>
    <t>PRE-MID TERM
TARGET</t>
  </si>
  <si>
    <t xml:space="preserve">Final result </t>
  </si>
  <si>
    <t>Within 3 days of step 2</t>
  </si>
  <si>
    <t>2018-2019/0357</t>
  </si>
  <si>
    <t>KIARA GUPTA</t>
  </si>
  <si>
    <t>Step 4</t>
  </si>
  <si>
    <t>B1 (78 )</t>
  </si>
  <si>
    <t>Excellent</t>
  </si>
  <si>
    <t>Taking meeting of the teachers for finding the reason for deviation</t>
  </si>
  <si>
    <t>2022-2023/0008</t>
  </si>
  <si>
    <t xml:space="preserve">95 % and Above </t>
  </si>
  <si>
    <t>A2 (82 )</t>
  </si>
  <si>
    <t xml:space="preserve">% OVERALL </t>
  </si>
  <si>
    <t>P/VP in presence of head coordinator and c.c</t>
  </si>
  <si>
    <t>Discusiing the deviation and telling them to prepare the strategy</t>
  </si>
  <si>
    <t>Within 1 days of step 3</t>
  </si>
  <si>
    <t>Step 5</t>
  </si>
  <si>
    <t>2022-2023/0033</t>
  </si>
  <si>
    <t>LAKSHYA RANJAN SHARMA</t>
  </si>
  <si>
    <t>INCREASE BY</t>
  </si>
  <si>
    <t>A2 (81 )</t>
  </si>
  <si>
    <t>Taking meeting of the teachers to prepare the strategy.</t>
  </si>
  <si>
    <t xml:space="preserve">MID TERM
TARGET/HALF YEARLY </t>
  </si>
  <si>
    <t>2019-2020/0207</t>
  </si>
  <si>
    <t>CHINMAY AGRAWAL</t>
  </si>
  <si>
    <t>WhatsApp Image 2026-09-16 at 14.19.59.jpeg</t>
  </si>
  <si>
    <t>ANNUALS</t>
  </si>
  <si>
    <t>2018-2019/0288</t>
  </si>
  <si>
    <t>VIJIT SINGH BHATI</t>
  </si>
  <si>
    <t>A2 (84 )</t>
  </si>
  <si>
    <t>2024-2025/0439</t>
  </si>
  <si>
    <t>ABHIRAM DANDEKAR</t>
  </si>
  <si>
    <t>2018-2019/0585</t>
  </si>
  <si>
    <t>DISHITA MATHUR</t>
  </si>
  <si>
    <t>B1 (75 )</t>
  </si>
  <si>
    <t>2018-2019/0161</t>
  </si>
  <si>
    <t>AARAV GUPTA</t>
  </si>
  <si>
    <t>2018-2019/0203</t>
  </si>
  <si>
    <t>SAMARTH CHATURVEDI</t>
  </si>
  <si>
    <t>Within  7 days of step 4</t>
  </si>
  <si>
    <t>Step 6</t>
  </si>
  <si>
    <t>2018-2019/0102</t>
  </si>
  <si>
    <t>BHAAVYA BAJAJ</t>
  </si>
  <si>
    <t xml:space="preserve">Compiling data of Class IX Half yearly  Result and sharing it with Head Coordinators </t>
  </si>
  <si>
    <t>2021-2022/0255</t>
  </si>
  <si>
    <t>MANVIK CHOUDHARY</t>
  </si>
  <si>
    <t>2020-2021/0054</t>
  </si>
  <si>
    <t>A2 (83 )</t>
  </si>
  <si>
    <t>2018-2019/0045</t>
  </si>
  <si>
    <t>PRAGYA GHORAWAT</t>
  </si>
  <si>
    <t>Within 11 days of Class IX Result OF HALF YEARLY</t>
  </si>
  <si>
    <t>Step 7</t>
  </si>
  <si>
    <t>2018-2019/0013</t>
  </si>
  <si>
    <t>PRAVAR CHOUDHARY</t>
  </si>
  <si>
    <t>B1 (76 )</t>
  </si>
  <si>
    <t>B1 (79 )</t>
  </si>
  <si>
    <t>2024-2025/0174</t>
  </si>
  <si>
    <t>NAYRA SINGHAL</t>
  </si>
  <si>
    <t>Step 8</t>
  </si>
  <si>
    <t>2023-2024/0497</t>
  </si>
  <si>
    <t>VAIBHAVI VATS</t>
  </si>
  <si>
    <t>2016-2017/0095</t>
  </si>
  <si>
    <t>DEVAGYA MANGAL</t>
  </si>
  <si>
    <t>2020-2021/0178</t>
  </si>
  <si>
    <t>AARAV GARG</t>
  </si>
  <si>
    <t>2017-2018/0049</t>
  </si>
  <si>
    <t>AMAN SINGHAL</t>
  </si>
  <si>
    <t>B2 (69 )</t>
  </si>
  <si>
    <t>Step 9</t>
  </si>
  <si>
    <t>2018-2019/0180</t>
  </si>
  <si>
    <t>VIHAAN SINGHAL</t>
  </si>
  <si>
    <t>B1 (74 )</t>
  </si>
  <si>
    <t>2017-2018/0375</t>
  </si>
  <si>
    <t>PARITA RAO</t>
  </si>
  <si>
    <t>Step 10</t>
  </si>
  <si>
    <t>2024-2025/0036</t>
  </si>
  <si>
    <t>DARSH TIWARI</t>
  </si>
  <si>
    <t>B1 (72 )</t>
  </si>
  <si>
    <t>2018-2019/0103</t>
  </si>
  <si>
    <t>EKANSH SUROLIA</t>
  </si>
  <si>
    <t>Step 11</t>
  </si>
  <si>
    <t>2018-2019/0366</t>
  </si>
  <si>
    <t>NAKSH KUMAWAT</t>
  </si>
  <si>
    <t>2022-2023/0755</t>
  </si>
  <si>
    <t>ADVIK GUPTA</t>
  </si>
  <si>
    <t>Step 12</t>
  </si>
  <si>
    <t>2018-2019/0186</t>
  </si>
  <si>
    <t>HIMANSHI SHARMA</t>
  </si>
  <si>
    <t>B2 (68 )</t>
  </si>
  <si>
    <t>Step 13</t>
  </si>
  <si>
    <t>90-94 %</t>
  </si>
  <si>
    <t>2018-2019/0020</t>
  </si>
  <si>
    <t>RANVEER ARORA</t>
  </si>
  <si>
    <t>2018-2019/0185</t>
  </si>
  <si>
    <t>MEDHANSH SHARMA</t>
  </si>
  <si>
    <t>Step 14</t>
  </si>
  <si>
    <t>10 %</t>
  </si>
  <si>
    <t>2022-2023/0473</t>
  </si>
  <si>
    <t>MANYA BHATIA</t>
  </si>
  <si>
    <t>B1 (73 )</t>
  </si>
  <si>
    <t>2024-2025/0356</t>
  </si>
  <si>
    <t>CHARVI MAHAR</t>
  </si>
  <si>
    <t>Step 15</t>
  </si>
  <si>
    <t>C1 (59 )</t>
  </si>
  <si>
    <t>2018-2019/0120</t>
  </si>
  <si>
    <t>ANIRUDH AGARWAL</t>
  </si>
  <si>
    <t>B1 (71 )</t>
  </si>
  <si>
    <t>Step 16</t>
  </si>
  <si>
    <t>2020-2021/0104</t>
  </si>
  <si>
    <t>MAULIK AGRAWAL</t>
  </si>
  <si>
    <t>2020-2021/0298</t>
  </si>
  <si>
    <t>SWARAJ SHARMA</t>
  </si>
  <si>
    <t>2022-2023/0717</t>
  </si>
  <si>
    <t>HETVI SWAMI</t>
  </si>
  <si>
    <t>Step 17</t>
  </si>
  <si>
    <t>B2 (65 )</t>
  </si>
  <si>
    <t>90 % and Above</t>
  </si>
  <si>
    <t>2018-2019/0265</t>
  </si>
  <si>
    <t>LAVESH LAKHANI</t>
  </si>
  <si>
    <t>2018-2019/0251</t>
  </si>
  <si>
    <t>PAVITRA KHANDELWAL</t>
  </si>
  <si>
    <t>B2 (66 )</t>
  </si>
  <si>
    <t>2020-2021/0112</t>
  </si>
  <si>
    <t>AVIKA JAIN</t>
  </si>
  <si>
    <t>Step 18</t>
  </si>
  <si>
    <t>2020-2021/0187</t>
  </si>
  <si>
    <t>VATSAL SINGH</t>
  </si>
  <si>
    <t>Very Good</t>
  </si>
  <si>
    <t>2021-2022/0040</t>
  </si>
  <si>
    <t>UMANSHI BHARDWAJ</t>
  </si>
  <si>
    <t>B2 (70 )</t>
  </si>
  <si>
    <t>B2 (63 )</t>
  </si>
  <si>
    <t>2018-2019/0222</t>
  </si>
  <si>
    <t>LAKSHYA KHATRI</t>
  </si>
  <si>
    <t>B2 (67 )</t>
  </si>
  <si>
    <t>2022-2023/0699</t>
  </si>
  <si>
    <t>KINJAL SHARMA</t>
  </si>
  <si>
    <t>2016-2017/0242</t>
  </si>
  <si>
    <t>SAMYAK GOYAL</t>
  </si>
  <si>
    <t>2017-2018/0544</t>
  </si>
  <si>
    <t>JHANAK PATODIA</t>
  </si>
  <si>
    <t>B2 (62 )</t>
  </si>
  <si>
    <t>2017-2018/0122</t>
  </si>
  <si>
    <t>ADVAIT SHARMA</t>
  </si>
  <si>
    <t>2018-2019/0054</t>
  </si>
  <si>
    <t>PRANJAL YADAV</t>
  </si>
  <si>
    <t>B2 (64 )</t>
  </si>
  <si>
    <t>2018-2019/0241</t>
  </si>
  <si>
    <t>SHAURYA DHARIWAL</t>
  </si>
  <si>
    <t>2020-2021/0198</t>
  </si>
  <si>
    <t>HARSHITA VERMA</t>
  </si>
  <si>
    <t>C1 (53 )</t>
  </si>
  <si>
    <t>2016-2017/0275</t>
  </si>
  <si>
    <t>HEMANGI SHARMA</t>
  </si>
  <si>
    <t>89- 85 %</t>
  </si>
  <si>
    <t>2016-2017/0070</t>
  </si>
  <si>
    <t>PRANAV KHANDELWAL</t>
  </si>
  <si>
    <t>C1 (57 )</t>
  </si>
  <si>
    <t>2018-2019/0458</t>
  </si>
  <si>
    <t>ABHIRAJ SINGH SHEKHAWAT</t>
  </si>
  <si>
    <t>C2 (48 )</t>
  </si>
  <si>
    <t>2017-2018/0433</t>
  </si>
  <si>
    <t>AVISHI SINGH</t>
  </si>
  <si>
    <t>2018-2019/0365</t>
  </si>
  <si>
    <t>ASHWANI VERMA</t>
  </si>
  <si>
    <t>2019-2020/0089</t>
  </si>
  <si>
    <t>MEHUL SINGHAL</t>
  </si>
  <si>
    <t>C1 (60 )</t>
  </si>
  <si>
    <t>2018-2019/0124</t>
  </si>
  <si>
    <t>GARVIT CHHABRA</t>
  </si>
  <si>
    <t>B2 (61 )</t>
  </si>
  <si>
    <t>2023-2024/0460</t>
  </si>
  <si>
    <t>LEVYANA CHOUDHARY</t>
  </si>
  <si>
    <t>84-80 %</t>
  </si>
  <si>
    <t>2018-2019/0233</t>
  </si>
  <si>
    <t>NITYASHA SUTHAR</t>
  </si>
  <si>
    <t>B1 (73)</t>
  </si>
  <si>
    <t>2016-2017/0125</t>
  </si>
  <si>
    <t>VANSH KUMAR SHARMA</t>
  </si>
  <si>
    <t>C1 (58 )</t>
  </si>
  <si>
    <t>2024-2025/0281</t>
  </si>
  <si>
    <t>SHIVAKSHI AGWAL</t>
  </si>
  <si>
    <t>2021-2022/0190</t>
  </si>
  <si>
    <t>NAVYA SARAOGI</t>
  </si>
  <si>
    <t>2018-2019/0303</t>
  </si>
  <si>
    <t>NILABH SHARMA</t>
  </si>
  <si>
    <t>80 % and Above</t>
  </si>
  <si>
    <t>2017-2018/0250</t>
  </si>
  <si>
    <t>AGRIMA SHARMA</t>
  </si>
  <si>
    <t>D (33 )</t>
  </si>
  <si>
    <t>2017-2018/0464</t>
  </si>
  <si>
    <t>ISHAAN SHARMA</t>
  </si>
  <si>
    <t>2022-2023/0053</t>
  </si>
  <si>
    <t>SHAURYA JAIN</t>
  </si>
  <si>
    <t>2022-2023/0254</t>
  </si>
  <si>
    <t>VIVAN CHOUDHARY</t>
  </si>
  <si>
    <t>2018-2019/0569</t>
  </si>
  <si>
    <t>KAVYA RAJESH</t>
  </si>
  <si>
    <t>D (36 )</t>
  </si>
  <si>
    <t>79- 75 %</t>
  </si>
  <si>
    <t>2022-2023/0624</t>
  </si>
  <si>
    <t>ANIRUDH</t>
  </si>
  <si>
    <t>C1 (55 )</t>
  </si>
  <si>
    <t>2018-2019/0503</t>
  </si>
  <si>
    <t>SHUBHAM LAMBA</t>
  </si>
  <si>
    <t>C1 (51 )</t>
  </si>
  <si>
    <t>2017-2018/0252</t>
  </si>
  <si>
    <t>ADWITA SHARMA</t>
  </si>
  <si>
    <t>2019-2020/0507</t>
  </si>
  <si>
    <t>PAHAL GAUR</t>
  </si>
  <si>
    <t>C1 (52 )</t>
  </si>
  <si>
    <t>74- 70 %</t>
  </si>
  <si>
    <t>2022-2023/0177</t>
  </si>
  <si>
    <t>SAAVI KHANDELWAL</t>
  </si>
  <si>
    <t>2016-2017/0277</t>
  </si>
  <si>
    <t>VANISHA SHARMA</t>
  </si>
  <si>
    <t>C2 (47 )</t>
  </si>
  <si>
    <t>2020-2021/0047</t>
  </si>
  <si>
    <t>MEHUL KHANDELWAL</t>
  </si>
  <si>
    <t>2018-2019/0003</t>
  </si>
  <si>
    <t>AARAV SINGHAL</t>
  </si>
  <si>
    <t>C1 (56 )</t>
  </si>
  <si>
    <t>2019-2020/0183</t>
  </si>
  <si>
    <t>AVISHI SHARMA</t>
  </si>
  <si>
    <t>2018-2019/0068</t>
  </si>
  <si>
    <t>KRISHIV KALRA</t>
  </si>
  <si>
    <t>70 % and Above</t>
  </si>
  <si>
    <t>2018-2019/0235</t>
  </si>
  <si>
    <t>PLAKSHA MEENA</t>
  </si>
  <si>
    <t>2017-2018/0246</t>
  </si>
  <si>
    <t>AARAV KHANDELWAL</t>
  </si>
  <si>
    <t>2024-2025/0054</t>
  </si>
  <si>
    <t>SATVIK SHARMA</t>
  </si>
  <si>
    <t>2018-2019/0166</t>
  </si>
  <si>
    <t>JAYESH SHARMA</t>
  </si>
  <si>
    <t>C2 (44 )</t>
  </si>
  <si>
    <t>Good</t>
  </si>
  <si>
    <t>2019-2020/0077</t>
  </si>
  <si>
    <t>KARTIKAY JHALANI</t>
  </si>
  <si>
    <t>2024-2025/0432</t>
  </si>
  <si>
    <t>DAKSHITA PUROHIT</t>
  </si>
  <si>
    <t>C2 (49 )</t>
  </si>
  <si>
    <t>2021-2022/0349</t>
  </si>
  <si>
    <t>LAVANYA CHATURVEDI</t>
  </si>
  <si>
    <t>E2 (19 )</t>
  </si>
  <si>
    <t>2022-2023/0214</t>
  </si>
  <si>
    <t>PRATYUSHA KESWANI</t>
  </si>
  <si>
    <t>E1 (31 )</t>
  </si>
  <si>
    <t>2022-2023/0020</t>
  </si>
  <si>
    <t>SAIBYA SINGHANIA</t>
  </si>
  <si>
    <t>C2 (45 )</t>
  </si>
  <si>
    <t>2018-2019/0040</t>
  </si>
  <si>
    <t>KREYANSH BINWAL</t>
  </si>
  <si>
    <t>2024-2025/0050</t>
  </si>
  <si>
    <t>SHIVANSH DUBEY</t>
  </si>
  <si>
    <t>2019-2020/0481</t>
  </si>
  <si>
    <t>SAANVI AGARWAL</t>
  </si>
  <si>
    <t>2016-2017/0053</t>
  </si>
  <si>
    <t>VIRAJ PAREEK</t>
  </si>
  <si>
    <t>2016-2017/0072</t>
  </si>
  <si>
    <t>KAVISH AGARWAL</t>
  </si>
  <si>
    <t>2024-2025/0038</t>
  </si>
  <si>
    <t>OJASVI BHARDWAJ</t>
  </si>
  <si>
    <t>2018-2019/0071</t>
  </si>
  <si>
    <t>HITI SHARMA</t>
  </si>
  <si>
    <t>C2 (43 )</t>
  </si>
  <si>
    <t>2016-2017/0299</t>
  </si>
  <si>
    <t>KAVYA MITTAL</t>
  </si>
  <si>
    <t>69- 65 %</t>
  </si>
  <si>
    <t>2020-2021/0049</t>
  </si>
  <si>
    <t>KHANAK RAWAT</t>
  </si>
  <si>
    <t>2016-2017/0031</t>
  </si>
  <si>
    <t>PANKHURI KHANDELWAL</t>
  </si>
  <si>
    <t>2022-2023/0133</t>
  </si>
  <si>
    <t>AVANI TAMBI</t>
  </si>
  <si>
    <t>C1 (54 )</t>
  </si>
  <si>
    <t>C2 (50 )</t>
  </si>
  <si>
    <t>2019-2020/0384</t>
  </si>
  <si>
    <t>SUCHITA BIJARNIYA</t>
  </si>
  <si>
    <t>2024-2025/0065</t>
  </si>
  <si>
    <t>DHRUV GUPTA</t>
  </si>
  <si>
    <t>2023-2024/0339</t>
  </si>
  <si>
    <t>LAKSHYA AGARWAL</t>
  </si>
  <si>
    <t>64- 60 %</t>
  </si>
  <si>
    <t>2024-2025/0209</t>
  </si>
  <si>
    <t>BHAVYA MITTAL</t>
  </si>
  <si>
    <t>2016-2017/0018</t>
  </si>
  <si>
    <t>SHUBHANKAR SAXENA</t>
  </si>
  <si>
    <t>C2 (46 )</t>
  </si>
  <si>
    <t>2016-2017/0034</t>
  </si>
  <si>
    <t>MRIDUL KHANDELWAL</t>
  </si>
  <si>
    <t>2019-2020/0407</t>
  </si>
  <si>
    <t>NAVYA TOLANI</t>
  </si>
  <si>
    <t>60 % and Above</t>
  </si>
  <si>
    <t>D (38 )</t>
  </si>
  <si>
    <t>2018-2019/0016</t>
  </si>
  <si>
    <t>VIHAN SHRIVASTAVA</t>
  </si>
  <si>
    <t>2016-2017/0312</t>
  </si>
  <si>
    <t>SHRIYASH MISHRA</t>
  </si>
  <si>
    <t>2024-2025/0383</t>
  </si>
  <si>
    <t>BHAVISHA SINGH TANWAR</t>
  </si>
  <si>
    <t>2018-2019/0114</t>
  </si>
  <si>
    <t>KRIYANSH KUMAWAT</t>
  </si>
  <si>
    <t>59-55</t>
  </si>
  <si>
    <t>2016-2017/0093</t>
  </si>
  <si>
    <t>ARTH PAREEK</t>
  </si>
  <si>
    <t>2016-2017/0144</t>
  </si>
  <si>
    <t>DAKSH KHANDELWAL</t>
  </si>
  <si>
    <t>2024-2025/0083</t>
  </si>
  <si>
    <t>AAROHI AGARWAL</t>
  </si>
  <si>
    <t>2019-2020/0321</t>
  </si>
  <si>
    <t>54-50</t>
  </si>
  <si>
    <t>RISHIT SHARMA</t>
  </si>
  <si>
    <t>2018-2019/0572</t>
  </si>
  <si>
    <t>RUDRANSH SINGH</t>
  </si>
  <si>
    <t>D (34 )</t>
  </si>
  <si>
    <t>2024-2025/0297</t>
  </si>
  <si>
    <t>SAKSHAM BHARGAVA</t>
  </si>
  <si>
    <t>2018-2019/0319</t>
  </si>
  <si>
    <t>ARAJDEEP RATHORE</t>
  </si>
  <si>
    <t>50 % and Above</t>
  </si>
  <si>
    <t>2019-2020/0404</t>
  </si>
  <si>
    <t>VIVEK CHOUDHARY</t>
  </si>
  <si>
    <t>D (40 )</t>
  </si>
  <si>
    <t>Satisfactory</t>
  </si>
  <si>
    <t>2018-2019/0444</t>
  </si>
  <si>
    <t>TIYA THAKUR</t>
  </si>
  <si>
    <t>C2 (42 )</t>
  </si>
  <si>
    <t>2018-2019/0027</t>
  </si>
  <si>
    <t>VIVAAN PANICKER</t>
  </si>
  <si>
    <t>2018-2019/0337</t>
  </si>
  <si>
    <t>HIMNESH SAINI</t>
  </si>
  <si>
    <t>49-45</t>
  </si>
  <si>
    <t>C2 (41 )</t>
  </si>
  <si>
    <t>2017-2018/0251</t>
  </si>
  <si>
    <t>AADYA SHARMA</t>
  </si>
  <si>
    <t>2018-2019/0333</t>
  </si>
  <si>
    <t>HARDIK KHALDHANIA</t>
  </si>
  <si>
    <t>44-40</t>
  </si>
  <si>
    <t>2022-2023/0507</t>
  </si>
  <si>
    <t>AYAAN PUROHIT</t>
  </si>
  <si>
    <t>D (39 )</t>
  </si>
  <si>
    <t>2018-2019/0553</t>
  </si>
  <si>
    <t>RHYTHM LUHANI</t>
  </si>
  <si>
    <t>2016-2017/0011</t>
  </si>
  <si>
    <t>40 % and Above</t>
  </si>
  <si>
    <t>NAVISH SHARMA</t>
  </si>
  <si>
    <t>D (37 )</t>
  </si>
  <si>
    <t>39-33</t>
  </si>
  <si>
    <t>2021-2022/0044</t>
  </si>
  <si>
    <t>VIHAAN JAIN</t>
  </si>
  <si>
    <t>2016-2017/0281</t>
  </si>
  <si>
    <t>33% and below</t>
  </si>
  <si>
    <t>2023-2024/0492</t>
  </si>
  <si>
    <t>AYUSHI RATHORE</t>
  </si>
  <si>
    <t>2019-2020/0179</t>
  </si>
  <si>
    <t>GUNNIKA GUPTA</t>
  </si>
  <si>
    <t>D (35 )</t>
  </si>
  <si>
    <t>VIII - ENGLISH</t>
  </si>
  <si>
    <t>2022-2023/0021</t>
  </si>
  <si>
    <t>ANANT VATWANI</t>
  </si>
  <si>
    <t>2022-2023/0418</t>
  </si>
  <si>
    <t>RANANJAY SINGH RAJORA</t>
  </si>
  <si>
    <t>2018-2019/0196</t>
  </si>
  <si>
    <t>UDBHAV JAIN</t>
  </si>
  <si>
    <t xml:space="preserve">
(HALF YEARLY)</t>
  </si>
  <si>
    <t>ACTUAL  ANNUALS MARKS ACHIEVED</t>
  </si>
  <si>
    <t>2016-2017/0081</t>
  </si>
  <si>
    <t>JATIN KHATRI</t>
  </si>
  <si>
    <t>95 marks and Above</t>
  </si>
  <si>
    <t>2018-2019/0450</t>
  </si>
  <si>
    <t>AARNA RANA</t>
  </si>
  <si>
    <t>2016-2017/0225</t>
  </si>
  <si>
    <t>AYUSHMAAN JANGID</t>
  </si>
  <si>
    <t>2022-2023/0630</t>
  </si>
  <si>
    <t>MRIGANK ACHARYA</t>
  </si>
  <si>
    <t>E1 (24 )</t>
  </si>
  <si>
    <t>2023-2024/0467</t>
  </si>
  <si>
    <t>JEEYAN CHOUDHARY</t>
  </si>
  <si>
    <t>90–94 marks</t>
  </si>
  <si>
    <t>2018-2019/0350</t>
  </si>
  <si>
    <t>HARSHIL DEWAL</t>
  </si>
  <si>
    <t>E1 (25 )</t>
  </si>
  <si>
    <t>2016-2017/0050</t>
  </si>
  <si>
    <t>SHIVEN CHOUDHARY</t>
  </si>
  <si>
    <t>90 marks and Above</t>
  </si>
  <si>
    <t>2021-2022/0377</t>
  </si>
  <si>
    <t>ADITI SHARMA</t>
  </si>
  <si>
    <t>E1 (30 )</t>
  </si>
  <si>
    <t>89–85 marks</t>
  </si>
  <si>
    <t>Fair</t>
  </si>
  <si>
    <t>2022-2023/0647</t>
  </si>
  <si>
    <t>KRISHNA SHARMA</t>
  </si>
  <si>
    <t>84–80 marks</t>
  </si>
  <si>
    <t>2019-2020/0276</t>
  </si>
  <si>
    <t>SHORYA SHARMA</t>
  </si>
  <si>
    <t>80 marks and Above</t>
  </si>
  <si>
    <t>E1 (32 )</t>
  </si>
  <si>
    <t>79–75 marks</t>
  </si>
  <si>
    <t>2018-2019/0456</t>
  </si>
  <si>
    <t>HRIDYANSHI GUPTA</t>
  </si>
  <si>
    <t>74–70 marks</t>
  </si>
  <si>
    <t>2017-2018/0227</t>
  </si>
  <si>
    <t>VAIBHAV SHARMA</t>
  </si>
  <si>
    <t>70 marks and Above</t>
  </si>
  <si>
    <t>2018-2019/0290</t>
  </si>
  <si>
    <t>YUVRAJ SAINI</t>
  </si>
  <si>
    <t>69–65 marks</t>
  </si>
  <si>
    <t>2024-2025/0196</t>
  </si>
  <si>
    <t>ANJAY MEENA</t>
  </si>
  <si>
    <t>64–60 marks</t>
  </si>
  <si>
    <t>2024-2025/0118</t>
  </si>
  <si>
    <t>AVIKA CHOPRA</t>
  </si>
  <si>
    <t>60 marks and Above</t>
  </si>
  <si>
    <t>E1 (21 )</t>
  </si>
  <si>
    <t>2016-2017/0227</t>
  </si>
  <si>
    <t>59–55 marks</t>
  </si>
  <si>
    <t>PARI SHARMA</t>
  </si>
  <si>
    <t>E1 (27 )</t>
  </si>
  <si>
    <t>54–50 marks</t>
  </si>
  <si>
    <t>50 marks and Above</t>
  </si>
  <si>
    <t>2022-2023/0209</t>
  </si>
  <si>
    <t>ATHARV SINGH</t>
  </si>
  <si>
    <t>49–45 marks</t>
  </si>
  <si>
    <t>Needs to work hard</t>
  </si>
  <si>
    <t>2024-2025/0303</t>
  </si>
  <si>
    <t>TANISHQ SADUKA</t>
  </si>
  <si>
    <t>44–40 marks</t>
  </si>
  <si>
    <t>2017-2018/0196</t>
  </si>
  <si>
    <t>ADHYANSH BISHNOI</t>
  </si>
  <si>
    <t>40 marks and Above</t>
  </si>
  <si>
    <t>Strenuous efforts to be paid</t>
  </si>
  <si>
    <t>39–33 marks</t>
  </si>
  <si>
    <t>2024-2025/0173</t>
  </si>
  <si>
    <t>MADHUR SHARMA</t>
  </si>
  <si>
    <t>33 marks and Below</t>
  </si>
  <si>
    <t>2023-2024/0502</t>
  </si>
  <si>
    <t>EYANA SINGH</t>
  </si>
  <si>
    <t>VIII- HINDI</t>
  </si>
  <si>
    <t xml:space="preserve">VIII- SANSKRIT </t>
  </si>
  <si>
    <t>VIII- FRENCH</t>
  </si>
  <si>
    <t>VIII- MATHS</t>
  </si>
  <si>
    <t>VIII- SCIENCE</t>
  </si>
  <si>
    <t>VIII- SOCIAL SCIENCE</t>
  </si>
  <si>
    <t>VIII- Computer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</si>
</sst>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sz val="16.0"/>
      <color theme="1"/>
      <name val="Arial"/>
    </font>
    <font>
      <b/>
      <sz val="9.0"/>
      <color theme="1"/>
      <name val="Tahoma"/>
    </font>
    <font/>
    <font>
      <color theme="1"/>
      <name val="Arial"/>
    </font>
    <font>
      <u/>
      <color theme="1"/>
      <name val="Arial"/>
      <scheme val="minor"/>
    </font>
    <font>
      <sz val="11.0"/>
      <color theme="1"/>
      <name val="Arial"/>
    </font>
    <font>
      <sz val="13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4.0"/>
      <color theme="1"/>
      <name val="Arial"/>
      <scheme val="minor"/>
    </font>
    <font>
      <u/>
      <sz val="11.0"/>
      <color rgb="FF1155CC"/>
      <name val="Arial"/>
    </font>
    <font>
      <sz val="13.0"/>
      <color rgb="FF000000"/>
      <name val="Calibri"/>
    </font>
    <font>
      <u/>
      <color theme="1"/>
      <name val="Arial"/>
    </font>
    <font>
      <i/>
      <sz val="13.0"/>
      <color theme="1"/>
      <name val="Arial"/>
      <scheme val="minor"/>
    </font>
    <font>
      <i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Times New Roman"/>
    </font>
    <font>
      <i/>
      <sz val="11.0"/>
      <color theme="1"/>
      <name val="Arial"/>
      <scheme val="minor"/>
    </font>
    <font>
      <sz val="13.0"/>
      <color theme="1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</fills>
  <borders count="5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n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3" fillId="0" fontId="4" numFmtId="0" xfId="0" applyBorder="1" applyFont="1"/>
    <xf borderId="4" fillId="0" fontId="4" numFmtId="0" xfId="0" applyBorder="1" applyFont="1"/>
    <xf borderId="1" fillId="2" fontId="3" numFmtId="0" xfId="0" applyAlignment="1" applyBorder="1" applyFill="1" applyFont="1">
      <alignment vertical="bottom"/>
    </xf>
    <xf borderId="5" fillId="0" fontId="5" numFmtId="0" xfId="0" applyAlignment="1" applyBorder="1" applyFont="1">
      <alignment horizontal="center" vertical="center"/>
    </xf>
    <xf borderId="1" fillId="2" fontId="3" numFmtId="0" xfId="0" applyAlignment="1" applyBorder="1" applyFill="1" applyFont="1">
      <alignment horizontal="left" vertical="bottom"/>
    </xf>
    <xf borderId="0" fillId="3" fontId="1" numFmtId="0" xfId="0" applyFill="1" applyFont="1"/>
    <xf borderId="6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readingOrder="0"/>
    </xf>
    <xf borderId="1" fillId="2" fontId="3" numFmtId="0" xfId="0" applyAlignment="1" applyBorder="1" applyFill="1" applyFont="1">
      <alignment vertical="bottom"/>
    </xf>
    <xf borderId="7" fillId="0" fontId="7" numFmtId="0" xfId="0" applyAlignment="1" applyBorder="1" applyFont="1">
      <alignment shrinkToFit="0" vertical="bottom" wrapText="1"/>
    </xf>
    <xf borderId="1" fillId="3" fontId="1" numFmtId="0" xfId="0" applyBorder="1" applyFill="1" applyFont="1"/>
    <xf borderId="5" fillId="0" fontId="4" numFmtId="0" xfId="0" applyBorder="1" applyFont="1"/>
    <xf borderId="1" fillId="0" fontId="1" numFmtId="0" xfId="0" applyAlignment="1" applyBorder="1" applyFont="1">
      <alignment horizontal="center"/>
    </xf>
    <xf borderId="1" fillId="2" fontId="3" numFmtId="0" xfId="0" applyAlignment="1" applyBorder="1" applyFill="1" applyFont="1">
      <alignment horizontal="center" vertical="bottom"/>
    </xf>
    <xf borderId="8" fillId="0" fontId="5" numFmtId="0" xfId="0" applyAlignment="1" applyBorder="1" applyFont="1">
      <alignment vertical="bottom"/>
    </xf>
    <xf borderId="9" fillId="0" fontId="8" numFmtId="0" xfId="0" applyAlignment="1" applyBorder="1" applyFont="1">
      <alignment horizontal="center" readingOrder="0"/>
    </xf>
    <xf borderId="10" fillId="0" fontId="5" numFmtId="0" xfId="0" applyAlignment="1" applyBorder="1" applyFont="1">
      <alignment vertical="bottom"/>
    </xf>
    <xf borderId="1" fillId="2" fontId="9" numFmtId="0" xfId="0" applyAlignment="1" applyBorder="1" applyFill="1" applyFont="1">
      <alignment horizontal="center" vertical="bottom"/>
    </xf>
    <xf borderId="10" fillId="0" fontId="7" numFmtId="0" xfId="0" applyAlignment="1" applyBorder="1" applyFont="1">
      <alignment shrinkToFit="0" vertical="bottom" wrapText="1"/>
    </xf>
    <xf borderId="8" fillId="4" fontId="8" numFmtId="0" xfId="0" applyAlignment="1" applyBorder="1" applyFill="1" applyFont="1">
      <alignment horizontal="center" readingOrder="0"/>
    </xf>
    <xf borderId="11" fillId="0" fontId="7" numFmtId="0" xfId="0" applyAlignment="1" applyBorder="1" applyFont="1">
      <alignment readingOrder="0" shrinkToFit="0" vertical="bottom" wrapText="1"/>
    </xf>
    <xf borderId="9" fillId="4" fontId="8" numFmtId="0" xfId="0" applyAlignment="1" applyBorder="1" applyFill="1" applyFont="1">
      <alignment horizontal="center" readingOrder="0"/>
    </xf>
    <xf borderId="12" fillId="0" fontId="4" numFmtId="0" xfId="0" applyBorder="1" applyFont="1"/>
    <xf borderId="1" fillId="0" fontId="10" numFmtId="1" xfId="0" applyAlignment="1" applyBorder="1" applyFont="1" applyNumberFormat="1">
      <alignment horizontal="right" vertical="bottom"/>
    </xf>
    <xf borderId="13" fillId="4" fontId="8" numFmtId="0" xfId="0" applyAlignment="1" applyBorder="1" applyFill="1" applyFont="1">
      <alignment horizontal="center" readingOrder="0"/>
    </xf>
    <xf borderId="14" fillId="0" fontId="5" numFmtId="0" xfId="0" applyAlignment="1" applyBorder="1" applyFont="1">
      <alignment readingOrder="0" vertical="bottom"/>
    </xf>
    <xf borderId="1" fillId="0" fontId="10" numFmtId="0" xfId="0" applyAlignment="1" applyBorder="1" applyFont="1">
      <alignment horizontal="left" vertical="bottom"/>
    </xf>
    <xf borderId="13" fillId="3" fontId="8" numFmtId="0" xfId="0" applyAlignment="1" applyBorder="1" applyFill="1" applyFont="1">
      <alignment horizontal="center" readingOrder="0"/>
    </xf>
    <xf borderId="15" fillId="0" fontId="7" numFmtId="0" xfId="0" applyAlignment="1" applyBorder="1" applyFont="1">
      <alignment readingOrder="0" shrinkToFit="0" vertical="bottom" wrapText="1"/>
    </xf>
    <xf borderId="1" fillId="0" fontId="10" numFmtId="0" xfId="0" applyAlignment="1" applyBorder="1" applyFont="1">
      <alignment vertical="bottom"/>
    </xf>
    <xf borderId="16" fillId="0" fontId="8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vertical="bottom"/>
    </xf>
    <xf borderId="16" fillId="0" fontId="1" numFmtId="0" xfId="0" applyAlignment="1" applyBorder="1" applyFont="1">
      <alignment horizontal="center"/>
    </xf>
    <xf borderId="13" fillId="0" fontId="4" numFmtId="0" xfId="0" applyBorder="1" applyFont="1"/>
    <xf borderId="7" fillId="0" fontId="7" numFmtId="0" xfId="0" applyAlignment="1" applyBorder="1" applyFont="1">
      <alignment readingOrder="0" vertical="bottom"/>
    </xf>
    <xf borderId="1" fillId="0" fontId="10" numFmtId="10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readingOrder="0"/>
    </xf>
    <xf borderId="10" fillId="0" fontId="5" numFmtId="0" xfId="0" applyAlignment="1" applyBorder="1" applyFont="1">
      <alignment readingOrder="0" vertical="bottom"/>
    </xf>
    <xf borderId="1" fillId="0" fontId="10" numFmtId="1" xfId="0" applyAlignment="1" applyBorder="1" applyFont="1" applyNumberFormat="1">
      <alignment horizontal="right" readingOrder="0" vertical="bottom"/>
    </xf>
    <xf borderId="2" fillId="0" fontId="11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17" fillId="0" fontId="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readingOrder="0" shrinkToFit="0" wrapText="1"/>
    </xf>
    <xf borderId="18" fillId="0" fontId="5" numFmtId="0" xfId="0" applyAlignment="1" applyBorder="1" applyFont="1">
      <alignment shrinkToFit="0" vertical="bottom" wrapText="1"/>
    </xf>
    <xf borderId="19" fillId="0" fontId="8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left" readingOrder="0" shrinkToFit="0" vertical="bottom" wrapText="1"/>
    </xf>
    <xf borderId="1" fillId="0" fontId="10" numFmtId="9" xfId="0" applyAlignment="1" applyBorder="1" applyFont="1" applyNumberFormat="1">
      <alignment horizontal="center" vertical="bottom"/>
    </xf>
    <xf borderId="1" fillId="3" fontId="8" numFmtId="0" xfId="0" applyAlignment="1" applyBorder="1" applyFill="1" applyFont="1">
      <alignment horizontal="center" readingOrder="0"/>
    </xf>
    <xf borderId="10" fillId="0" fontId="7" numFmtId="0" xfId="0" applyAlignment="1" applyBorder="1" applyFont="1">
      <alignment horizontal="left" readingOrder="0" shrinkToFit="0" vertical="bottom" wrapText="1"/>
    </xf>
    <xf borderId="2" fillId="0" fontId="8" numFmtId="0" xfId="0" applyAlignment="1" applyBorder="1" applyFont="1">
      <alignment horizontal="center" readingOrder="0"/>
    </xf>
    <xf borderId="20" fillId="0" fontId="8" numFmtId="0" xfId="0" applyAlignment="1" applyBorder="1" applyFont="1">
      <alignment horizontal="center" readingOrder="0"/>
    </xf>
    <xf borderId="10" fillId="0" fontId="12" numFmtId="0" xfId="0" applyAlignment="1" applyBorder="1" applyFont="1">
      <alignment horizontal="left" shrinkToFit="0" vertical="bottom" wrapText="1"/>
    </xf>
    <xf borderId="21" fillId="0" fontId="8" numFmtId="0" xfId="0" applyAlignment="1" applyBorder="1" applyFont="1">
      <alignment horizontal="center" readingOrder="0" shrinkToFit="0" wrapText="1"/>
    </xf>
    <xf borderId="14" fillId="0" fontId="5" numFmtId="0" xfId="0" applyAlignment="1" applyBorder="1" applyFont="1">
      <alignment vertical="bottom"/>
    </xf>
    <xf borderId="20" fillId="0" fontId="8" numFmtId="0" xfId="0" applyAlignment="1" applyBorder="1" applyFont="1">
      <alignment horizontal="center" readingOrder="0" shrinkToFit="0" wrapText="1"/>
    </xf>
    <xf borderId="22" fillId="0" fontId="7" numFmtId="0" xfId="0" applyAlignment="1" applyBorder="1" applyFont="1">
      <alignment horizontal="left" readingOrder="0" shrinkToFit="0" vertical="bottom" wrapText="1"/>
    </xf>
    <xf borderId="20" fillId="5" fontId="8" numFmtId="0" xfId="0" applyAlignment="1" applyBorder="1" applyFill="1" applyFont="1">
      <alignment horizontal="center" readingOrder="0" shrinkToFit="0" wrapText="1"/>
    </xf>
    <xf borderId="23" fillId="0" fontId="5" numFmtId="0" xfId="0" applyAlignment="1" applyBorder="1" applyFont="1">
      <alignment readingOrder="0" vertical="bottom"/>
    </xf>
    <xf borderId="8" fillId="3" fontId="8" numFmtId="0" xfId="0" applyAlignment="1" applyBorder="1" applyFill="1" applyFont="1">
      <alignment horizontal="center" readingOrder="0"/>
    </xf>
    <xf borderId="20" fillId="0" fontId="11" numFmtId="0" xfId="0" applyAlignment="1" applyBorder="1" applyFont="1">
      <alignment horizontal="center" readingOrder="0"/>
    </xf>
    <xf borderId="2" fillId="6" fontId="8" numFmtId="0" xfId="0" applyAlignment="1" applyBorder="1" applyFill="1" applyFont="1">
      <alignment horizontal="center" readingOrder="0" shrinkToFit="0" vertical="center" wrapText="1"/>
    </xf>
    <xf borderId="20" fillId="0" fontId="1" numFmtId="0" xfId="0" applyBorder="1" applyFont="1"/>
    <xf borderId="24" fillId="0" fontId="4" numFmtId="0" xfId="0" applyBorder="1" applyFont="1"/>
    <xf borderId="7" fillId="0" fontId="5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/>
    </xf>
    <xf borderId="25" fillId="6" fontId="8" numFmtId="0" xfId="0" applyAlignment="1" applyBorder="1" applyFill="1" applyFont="1">
      <alignment horizontal="center" readingOrder="0" shrinkToFit="0" vertical="center" wrapText="1"/>
    </xf>
    <xf borderId="13" fillId="0" fontId="1" numFmtId="0" xfId="0" applyAlignment="1" applyBorder="1" applyFont="1">
      <alignment readingOrder="0"/>
    </xf>
    <xf borderId="1" fillId="0" fontId="13" numFmtId="0" xfId="0" applyAlignment="1" applyBorder="1" applyFont="1">
      <alignment horizontal="center" readingOrder="0" shrinkToFit="0" vertical="bottom" wrapText="0"/>
    </xf>
    <xf borderId="26" fillId="7" fontId="8" numFmtId="0" xfId="0" applyAlignment="1" applyBorder="1" applyFill="1" applyFont="1">
      <alignment horizontal="center" readingOrder="0" shrinkToFit="0" vertical="center" wrapText="1"/>
    </xf>
    <xf borderId="27" fillId="6" fontId="8" numFmtId="0" xfId="0" applyAlignment="1" applyBorder="1" applyFill="1" applyFont="1">
      <alignment horizontal="center" readingOrder="0" shrinkToFit="0" vertical="center" wrapText="1"/>
    </xf>
    <xf borderId="28" fillId="8" fontId="1" numFmtId="0" xfId="0" applyAlignment="1" applyBorder="1" applyFill="1" applyFont="1">
      <alignment horizontal="center" readingOrder="0" vertical="center"/>
    </xf>
    <xf borderId="29" fillId="0" fontId="4" numFmtId="0" xfId="0" applyBorder="1" applyFont="1"/>
    <xf borderId="30" fillId="0" fontId="4" numFmtId="0" xfId="0" applyBorder="1" applyFont="1"/>
    <xf borderId="10" fillId="0" fontId="14" numFmtId="0" xfId="0" applyAlignment="1" applyBorder="1" applyFont="1">
      <alignment readingOrder="0" vertical="bottom"/>
    </xf>
    <xf borderId="19" fillId="0" fontId="5" numFmtId="0" xfId="0" applyAlignment="1" applyBorder="1" applyFont="1">
      <alignment vertical="bottom"/>
    </xf>
    <xf borderId="4" fillId="0" fontId="8" numFmtId="0" xfId="0" applyAlignment="1" applyBorder="1" applyFont="1">
      <alignment horizontal="center" readingOrder="0" shrinkToFit="0" vertical="center" wrapText="1"/>
    </xf>
    <xf borderId="31" fillId="0" fontId="5" numFmtId="0" xfId="0" applyAlignment="1" applyBorder="1" applyFont="1">
      <alignment shrinkToFit="0" vertical="bottom" wrapText="1"/>
    </xf>
    <xf borderId="1" fillId="0" fontId="13" numFmtId="10" xfId="0" applyAlignment="1" applyBorder="1" applyFont="1" applyNumberFormat="1">
      <alignment horizontal="center" readingOrder="0" shrinkToFit="0" vertical="bottom" wrapText="0"/>
    </xf>
    <xf borderId="20" fillId="0" fontId="8" numFmtId="0" xfId="0" applyAlignment="1" applyBorder="1" applyFont="1">
      <alignment horizontal="center" readingOrder="0" shrinkToFit="0" vertical="center" wrapText="1"/>
    </xf>
    <xf borderId="32" fillId="0" fontId="5" numFmtId="0" xfId="0" applyAlignment="1" applyBorder="1" applyFont="1">
      <alignment vertical="bottom"/>
    </xf>
    <xf borderId="1" fillId="0" fontId="8" numFmtId="0" xfId="0" applyBorder="1" applyFont="1"/>
    <xf borderId="1" fillId="3" fontId="8" numFmtId="0" xfId="0" applyBorder="1" applyFill="1" applyFont="1"/>
    <xf borderId="33" fillId="0" fontId="5" numFmtId="0" xfId="0" applyAlignment="1" applyBorder="1" applyFont="1">
      <alignment vertical="bottom"/>
    </xf>
    <xf borderId="20" fillId="0" fontId="8" numFmtId="0" xfId="0" applyAlignment="1" applyBorder="1" applyFont="1">
      <alignment horizontal="center" readingOrder="0" vertical="center"/>
    </xf>
    <xf borderId="20" fillId="0" fontId="8" numFmtId="0" xfId="0" applyAlignment="1" applyBorder="1" applyFont="1">
      <alignment readingOrder="0"/>
    </xf>
    <xf borderId="34" fillId="0" fontId="5" numFmtId="0" xfId="0" applyAlignment="1" applyBorder="1" applyFont="1">
      <alignment vertical="bottom"/>
    </xf>
    <xf borderId="35" fillId="0" fontId="5" numFmtId="0" xfId="0" applyAlignment="1" applyBorder="1" applyFont="1">
      <alignment vertical="bottom"/>
    </xf>
    <xf borderId="20" fillId="5" fontId="8" numFmtId="0" xfId="0" applyAlignment="1" applyBorder="1" applyFill="1" applyFont="1">
      <alignment horizontal="center" readingOrder="0"/>
    </xf>
    <xf borderId="36" fillId="0" fontId="5" numFmtId="0" xfId="0" applyAlignment="1" applyBorder="1" applyFont="1">
      <alignment vertical="bottom"/>
    </xf>
    <xf borderId="37" fillId="0" fontId="5" numFmtId="0" xfId="0" applyAlignment="1" applyBorder="1" applyFont="1">
      <alignment shrinkToFit="0" vertical="bottom" wrapText="1"/>
    </xf>
    <xf borderId="7" fillId="0" fontId="8" numFmtId="0" xfId="0" applyAlignment="1" applyBorder="1" applyFont="1">
      <alignment readingOrder="0"/>
    </xf>
    <xf borderId="31" fillId="0" fontId="5" numFmtId="0" xfId="0" applyAlignment="1" applyBorder="1" applyFont="1">
      <alignment vertical="bottom"/>
    </xf>
    <xf borderId="20" fillId="0" fontId="8" numFmtId="10" xfId="0" applyAlignment="1" applyBorder="1" applyFont="1" applyNumberFormat="1">
      <alignment horizontal="center" readingOrder="0"/>
    </xf>
    <xf borderId="38" fillId="5" fontId="13" numFmtId="0" xfId="0" applyAlignment="1" applyBorder="1" applyFill="1" applyFont="1">
      <alignment horizontal="center" readingOrder="0" shrinkToFit="0" vertical="bottom" wrapText="0"/>
    </xf>
    <xf borderId="1" fillId="0" fontId="5" numFmtId="0" xfId="0" applyAlignment="1" applyBorder="1" applyFont="1">
      <alignment vertical="bottom"/>
    </xf>
    <xf borderId="39" fillId="0" fontId="13" numFmtId="0" xfId="0" applyAlignment="1" applyBorder="1" applyFont="1">
      <alignment horizontal="center" readingOrder="0" shrinkToFit="0" vertical="bottom" wrapText="0"/>
    </xf>
    <xf borderId="20" fillId="5" fontId="8" numFmtId="10" xfId="0" applyAlignment="1" applyBorder="1" applyFill="1" applyFont="1" applyNumberFormat="1">
      <alignment horizontal="center" readingOrder="0"/>
    </xf>
    <xf borderId="40" fillId="0" fontId="5" numFmtId="0" xfId="0" applyAlignment="1" applyBorder="1" applyFont="1">
      <alignment vertical="bottom"/>
    </xf>
    <xf borderId="21" fillId="0" fontId="13" numFmtId="10" xfId="0" applyAlignment="1" applyBorder="1" applyFont="1" applyNumberFormat="1">
      <alignment horizontal="center" readingOrder="0" shrinkToFit="0" vertical="bottom" wrapText="0"/>
    </xf>
    <xf borderId="8" fillId="3" fontId="8" numFmtId="0" xfId="0" applyBorder="1" applyFill="1" applyFont="1"/>
    <xf borderId="20" fillId="0" fontId="15" numFmtId="0" xfId="0" applyAlignment="1" applyBorder="1" applyFont="1">
      <alignment horizontal="center" readingOrder="0"/>
    </xf>
    <xf borderId="41" fillId="0" fontId="16" numFmtId="0" xfId="0" applyAlignment="1" applyBorder="1" applyFont="1">
      <alignment horizontal="center"/>
    </xf>
    <xf borderId="1" fillId="8" fontId="8" numFmtId="0" xfId="0" applyAlignment="1" applyBorder="1" applyFill="1" applyFont="1">
      <alignment readingOrder="0"/>
    </xf>
    <xf borderId="1" fillId="8" fontId="13" numFmtId="0" xfId="0" applyAlignment="1" applyBorder="1" applyFill="1" applyFont="1">
      <alignment horizontal="center" readingOrder="0" shrinkToFit="0" vertical="bottom" wrapText="0"/>
    </xf>
    <xf borderId="1" fillId="8" fontId="13" numFmtId="10" xfId="0" applyAlignment="1" applyBorder="1" applyFill="1" applyFont="1" applyNumberFormat="1">
      <alignment horizontal="center" readingOrder="0" shrinkToFit="0" vertical="bottom" wrapText="0"/>
    </xf>
    <xf borderId="1" fillId="8" fontId="8" numFmtId="0" xfId="0" applyBorder="1" applyFill="1" applyFont="1"/>
    <xf borderId="42" fillId="0" fontId="16" numFmtId="1" xfId="0" applyAlignment="1" applyBorder="1" applyFont="1" applyNumberFormat="1">
      <alignment horizontal="center" readingOrder="0"/>
    </xf>
    <xf borderId="20" fillId="8" fontId="8" numFmtId="0" xfId="0" applyAlignment="1" applyBorder="1" applyFill="1" applyFont="1">
      <alignment readingOrder="0"/>
    </xf>
    <xf borderId="0" fillId="0" fontId="1" numFmtId="0" xfId="0" applyAlignment="1" applyFont="1">
      <alignment vertical="center"/>
    </xf>
    <xf borderId="39" fillId="0" fontId="16" numFmtId="1" xfId="0" applyAlignment="1" applyBorder="1" applyFont="1" applyNumberFormat="1">
      <alignment horizontal="center" readingOrder="0"/>
    </xf>
    <xf borderId="20" fillId="8" fontId="8" numFmtId="0" xfId="0" applyAlignment="1" applyBorder="1" applyFill="1" applyFont="1">
      <alignment horizontal="center" readingOrder="0"/>
    </xf>
    <xf borderId="13" fillId="0" fontId="1" numFmtId="1" xfId="0" applyBorder="1" applyFont="1" applyNumberFormat="1"/>
    <xf borderId="20" fillId="0" fontId="15" numFmtId="9" xfId="0" applyAlignment="1" applyBorder="1" applyFont="1" applyNumberFormat="1">
      <alignment horizontal="center" readingOrder="0"/>
    </xf>
    <xf borderId="20" fillId="8" fontId="8" numFmtId="10" xfId="0" applyAlignment="1" applyBorder="1" applyFill="1" applyFont="1" applyNumberFormat="1">
      <alignment horizontal="center" readingOrder="0"/>
    </xf>
    <xf borderId="43" fillId="0" fontId="15" numFmtId="3" xfId="0" applyAlignment="1" applyBorder="1" applyFont="1" applyNumberFormat="1">
      <alignment horizontal="center" readingOrder="0"/>
    </xf>
    <xf borderId="0" fillId="0" fontId="10" numFmtId="0" xfId="0" applyAlignment="1" applyFont="1">
      <alignment horizontal="left" vertical="bottom"/>
    </xf>
    <xf borderId="20" fillId="8" fontId="1" numFmtId="0" xfId="0" applyBorder="1" applyFill="1" applyFont="1"/>
    <xf borderId="0" fillId="0" fontId="10" numFmtId="0" xfId="0" applyAlignment="1" applyFont="1">
      <alignment vertical="bottom"/>
    </xf>
    <xf borderId="0" fillId="0" fontId="10" numFmtId="0" xfId="0" applyAlignment="1" applyFont="1">
      <alignment horizontal="center" vertical="bottom"/>
    </xf>
    <xf borderId="31" fillId="0" fontId="15" numFmtId="3" xfId="0" applyAlignment="1" applyBorder="1" applyFont="1" applyNumberFormat="1">
      <alignment horizontal="center" readingOrder="0"/>
    </xf>
    <xf borderId="0" fillId="0" fontId="10" numFmtId="10" xfId="0" applyAlignment="1" applyFont="1" applyNumberFormat="1">
      <alignment horizontal="center" vertical="bottom"/>
    </xf>
    <xf borderId="44" fillId="0" fontId="15" numFmtId="3" xfId="0" applyAlignment="1" applyBorder="1" applyFont="1" applyNumberFormat="1">
      <alignment horizontal="center" readingOrder="0"/>
    </xf>
    <xf borderId="41" fillId="0" fontId="1" numFmtId="1" xfId="0" applyAlignment="1" applyBorder="1" applyFont="1" applyNumberFormat="1">
      <alignment horizontal="center"/>
    </xf>
    <xf borderId="42" fillId="0" fontId="1" numFmtId="1" xfId="0" applyAlignment="1" applyBorder="1" applyFont="1" applyNumberFormat="1">
      <alignment horizontal="center"/>
    </xf>
    <xf borderId="39" fillId="0" fontId="1" numFmtId="2" xfId="0" applyAlignment="1" applyBorder="1" applyFont="1" applyNumberFormat="1">
      <alignment horizontal="center"/>
    </xf>
    <xf borderId="4" fillId="0" fontId="8" numFmtId="0" xfId="0" applyAlignment="1" applyBorder="1" applyFont="1">
      <alignment horizontal="center" readingOrder="0"/>
    </xf>
    <xf borderId="10" fillId="0" fontId="8" numFmtId="0" xfId="0" applyAlignment="1" applyBorder="1" applyFont="1">
      <alignment readingOrder="0"/>
    </xf>
    <xf borderId="45" fillId="5" fontId="13" numFmtId="0" xfId="0" applyAlignment="1" applyBorder="1" applyFill="1" applyFont="1">
      <alignment horizontal="center" readingOrder="0" shrinkToFit="0" vertical="bottom" wrapText="0"/>
    </xf>
    <xf borderId="32" fillId="0" fontId="13" numFmtId="0" xfId="0" applyAlignment="1" applyBorder="1" applyFont="1">
      <alignment horizontal="center" readingOrder="0" shrinkToFit="0" vertical="bottom" wrapText="0"/>
    </xf>
    <xf borderId="21" fillId="0" fontId="16" numFmtId="0" xfId="0" applyAlignment="1" applyBorder="1" applyFont="1">
      <alignment horizontal="center"/>
    </xf>
    <xf borderId="1" fillId="0" fontId="16" numFmtId="1" xfId="0" applyAlignment="1" applyBorder="1" applyFont="1" applyNumberFormat="1">
      <alignment horizontal="center"/>
    </xf>
    <xf borderId="32" fillId="0" fontId="16" numFmtId="1" xfId="0" applyAlignment="1" applyBorder="1" applyFont="1" applyNumberFormat="1">
      <alignment horizontal="center"/>
    </xf>
    <xf borderId="21" fillId="0" fontId="15" numFmtId="3" xfId="0" applyAlignment="1" applyBorder="1" applyFont="1" applyNumberFormat="1">
      <alignment horizontal="center" readingOrder="0"/>
    </xf>
    <xf borderId="32" fillId="0" fontId="15" numFmtId="3" xfId="0" applyAlignment="1" applyBorder="1" applyFont="1" applyNumberFormat="1">
      <alignment horizontal="center" readingOrder="0"/>
    </xf>
    <xf borderId="13" fillId="0" fontId="15" numFmtId="3" xfId="0" applyAlignment="1" applyBorder="1" applyFont="1" applyNumberFormat="1">
      <alignment horizontal="center" readingOrder="0"/>
    </xf>
    <xf borderId="1" fillId="0" fontId="1" numFmtId="1" xfId="0" applyAlignment="1" applyBorder="1" applyFont="1" applyNumberFormat="1">
      <alignment horizontal="center"/>
    </xf>
    <xf borderId="32" fillId="0" fontId="1" numFmtId="2" xfId="0" applyAlignment="1" applyBorder="1" applyFont="1" applyNumberFormat="1">
      <alignment horizontal="center"/>
    </xf>
    <xf borderId="1" fillId="9" fontId="8" numFmtId="0" xfId="0" applyAlignment="1" applyBorder="1" applyFill="1" applyFont="1">
      <alignment readingOrder="0"/>
    </xf>
    <xf borderId="1" fillId="9" fontId="13" numFmtId="0" xfId="0" applyAlignment="1" applyBorder="1" applyFill="1" applyFont="1">
      <alignment horizontal="center" readingOrder="0" shrinkToFit="0" vertical="bottom" wrapText="0"/>
    </xf>
    <xf borderId="1" fillId="9" fontId="13" numFmtId="10" xfId="0" applyAlignment="1" applyBorder="1" applyFill="1" applyFont="1" applyNumberFormat="1">
      <alignment horizontal="center" readingOrder="0" shrinkToFit="0" vertical="bottom" wrapText="0"/>
    </xf>
    <xf borderId="10" fillId="8" fontId="8" numFmtId="0" xfId="0" applyAlignment="1" applyBorder="1" applyFill="1" applyFont="1">
      <alignment readingOrder="0"/>
    </xf>
    <xf borderId="32" fillId="8" fontId="13" numFmtId="0" xfId="0" applyAlignment="1" applyBorder="1" applyFill="1" applyFont="1">
      <alignment horizontal="center" readingOrder="0" shrinkToFit="0" vertical="bottom" wrapText="0"/>
    </xf>
    <xf borderId="21" fillId="8" fontId="13" numFmtId="10" xfId="0" applyAlignment="1" applyBorder="1" applyFill="1" applyFont="1" applyNumberFormat="1">
      <alignment horizontal="center" readingOrder="0" shrinkToFit="0" vertical="bottom" wrapText="0"/>
    </xf>
    <xf borderId="8" fillId="8" fontId="8" numFmtId="0" xfId="0" applyBorder="1" applyFill="1" applyFont="1"/>
    <xf borderId="20" fillId="8" fontId="15" numFmtId="0" xfId="0" applyAlignment="1" applyBorder="1" applyFill="1" applyFont="1">
      <alignment horizontal="center" readingOrder="0"/>
    </xf>
    <xf borderId="21" fillId="8" fontId="16" numFmtId="0" xfId="0" applyAlignment="1" applyBorder="1" applyFill="1" applyFont="1">
      <alignment horizontal="center"/>
    </xf>
    <xf borderId="1" fillId="8" fontId="16" numFmtId="1" xfId="0" applyAlignment="1" applyBorder="1" applyFill="1" applyFont="1" applyNumberFormat="1">
      <alignment horizontal="center"/>
    </xf>
    <xf borderId="32" fillId="8" fontId="16" numFmtId="4" xfId="0" applyAlignment="1" applyBorder="1" applyFill="1" applyFont="1" applyNumberFormat="1">
      <alignment horizontal="center"/>
    </xf>
    <xf borderId="13" fillId="8" fontId="1" numFmtId="1" xfId="0" applyBorder="1" applyFill="1" applyFont="1" applyNumberFormat="1"/>
    <xf borderId="20" fillId="8" fontId="15" numFmtId="9" xfId="0" applyAlignment="1" applyBorder="1" applyFill="1" applyFont="1" applyNumberFormat="1">
      <alignment horizontal="center" readingOrder="0"/>
    </xf>
    <xf borderId="21" fillId="8" fontId="15" numFmtId="3" xfId="0" applyAlignment="1" applyBorder="1" applyFill="1" applyFont="1" applyNumberFormat="1">
      <alignment horizontal="center" readingOrder="0"/>
    </xf>
    <xf borderId="32" fillId="8" fontId="15" numFmtId="3" xfId="0" applyAlignment="1" applyBorder="1" applyFill="1" applyFont="1" applyNumberFormat="1">
      <alignment horizontal="center" readingOrder="0"/>
    </xf>
    <xf borderId="13" fillId="8" fontId="15" numFmtId="3" xfId="0" applyAlignment="1" applyBorder="1" applyFill="1" applyFont="1" applyNumberFormat="1">
      <alignment horizontal="center" readingOrder="0"/>
    </xf>
    <xf borderId="41" fillId="8" fontId="1" numFmtId="1" xfId="0" applyAlignment="1" applyBorder="1" applyFill="1" applyFont="1" applyNumberFormat="1">
      <alignment horizontal="center"/>
    </xf>
    <xf borderId="1" fillId="8" fontId="1" numFmtId="1" xfId="0" applyAlignment="1" applyBorder="1" applyFill="1" applyFont="1" applyNumberFormat="1">
      <alignment horizontal="center"/>
    </xf>
    <xf borderId="32" fillId="8" fontId="1" numFmtId="1" xfId="0" applyAlignment="1" applyBorder="1" applyFill="1" applyFont="1" applyNumberFormat="1">
      <alignment horizontal="center"/>
    </xf>
    <xf borderId="4" fillId="8" fontId="8" numFmtId="0" xfId="0" applyAlignment="1" applyBorder="1" applyFill="1" applyFont="1">
      <alignment horizontal="center" readingOrder="0"/>
    </xf>
    <xf borderId="0" fillId="8" fontId="1" numFmtId="0" xfId="0" applyFill="1" applyFont="1"/>
    <xf borderId="32" fillId="0" fontId="16" numFmtId="4" xfId="0" applyAlignment="1" applyBorder="1" applyFont="1" applyNumberFormat="1">
      <alignment horizontal="center"/>
    </xf>
    <xf borderId="1" fillId="9" fontId="10" numFmtId="0" xfId="0" applyAlignment="1" applyBorder="1" applyFill="1" applyFont="1">
      <alignment horizontal="left" vertical="bottom"/>
    </xf>
    <xf borderId="1" fillId="9" fontId="10" numFmtId="0" xfId="0" applyAlignment="1" applyBorder="1" applyFill="1" applyFont="1">
      <alignment vertical="bottom"/>
    </xf>
    <xf borderId="1" fillId="9" fontId="10" numFmtId="0" xfId="0" applyAlignment="1" applyBorder="1" applyFill="1" applyFont="1">
      <alignment horizontal="center" vertical="bottom"/>
    </xf>
    <xf borderId="1" fillId="9" fontId="10" numFmtId="10" xfId="0" applyAlignment="1" applyBorder="1" applyFill="1" applyFont="1" applyNumberFormat="1">
      <alignment horizontal="center" vertical="bottom"/>
    </xf>
    <xf borderId="8" fillId="5" fontId="8" numFmtId="0" xfId="0" applyAlignment="1" applyBorder="1" applyFill="1" applyFont="1">
      <alignment horizontal="center" readingOrder="0"/>
    </xf>
    <xf borderId="21" fillId="3" fontId="8" numFmtId="0" xfId="0" applyAlignment="1" applyBorder="1" applyFill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0" fontId="17" numFmtId="10" xfId="0" applyAlignment="1" applyBorder="1" applyFont="1" applyNumberFormat="1">
      <alignment horizontal="center" readingOrder="0"/>
    </xf>
    <xf borderId="1" fillId="8" fontId="17" numFmtId="0" xfId="0" applyAlignment="1" applyBorder="1" applyFill="1" applyFont="1">
      <alignment horizontal="center" readingOrder="0"/>
    </xf>
    <xf borderId="1" fillId="8" fontId="17" numFmtId="10" xfId="0" applyAlignment="1" applyBorder="1" applyFill="1" applyFont="1" applyNumberFormat="1">
      <alignment horizontal="center" readingOrder="0"/>
    </xf>
    <xf borderId="1" fillId="9" fontId="17" numFmtId="0" xfId="0" applyAlignment="1" applyBorder="1" applyFill="1" applyFont="1">
      <alignment horizontal="center" readingOrder="0"/>
    </xf>
    <xf borderId="1" fillId="9" fontId="17" numFmtId="10" xfId="0" applyAlignment="1" applyBorder="1" applyFill="1" applyFont="1" applyNumberFormat="1">
      <alignment horizontal="center" readingOrder="0"/>
    </xf>
    <xf borderId="10" fillId="5" fontId="8" numFmtId="0" xfId="0" applyAlignment="1" applyBorder="1" applyFill="1" applyFont="1">
      <alignment readingOrder="0"/>
    </xf>
    <xf borderId="32" fillId="5" fontId="13" numFmtId="0" xfId="0" applyAlignment="1" applyBorder="1" applyFill="1" applyFont="1">
      <alignment horizontal="center" readingOrder="0" shrinkToFit="0" vertical="bottom" wrapText="0"/>
    </xf>
    <xf borderId="21" fillId="5" fontId="13" numFmtId="10" xfId="0" applyAlignment="1" applyBorder="1" applyFill="1" applyFont="1" applyNumberFormat="1">
      <alignment horizontal="center" readingOrder="0" shrinkToFit="0" vertical="bottom" wrapText="0"/>
    </xf>
    <xf borderId="1" fillId="5" fontId="8" numFmtId="0" xfId="0" applyBorder="1" applyFill="1" applyFont="1"/>
    <xf borderId="8" fillId="5" fontId="8" numFmtId="0" xfId="0" applyBorder="1" applyFill="1" applyFont="1"/>
    <xf borderId="20" fillId="5" fontId="15" numFmtId="0" xfId="0" applyAlignment="1" applyBorder="1" applyFill="1" applyFont="1">
      <alignment horizontal="center" readingOrder="0"/>
    </xf>
    <xf borderId="21" fillId="5" fontId="16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left" vertical="bottom"/>
    </xf>
    <xf borderId="1" fillId="5" fontId="16" numFmtId="1" xfId="0" applyAlignment="1" applyBorder="1" applyFill="1" applyFont="1" applyNumberFormat="1">
      <alignment horizontal="center"/>
    </xf>
    <xf borderId="0" fillId="0" fontId="5" numFmtId="0" xfId="0" applyAlignment="1" applyFont="1">
      <alignment vertical="bottom"/>
    </xf>
    <xf borderId="2" fillId="5" fontId="8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left" vertical="bottom"/>
    </xf>
    <xf borderId="32" fillId="5" fontId="16" numFmtId="4" xfId="0" applyAlignment="1" applyBorder="1" applyFill="1" applyFont="1" applyNumberFormat="1">
      <alignment horizontal="center"/>
    </xf>
    <xf borderId="42" fillId="0" fontId="8" numFmtId="0" xfId="0" applyAlignment="1" applyBorder="1" applyFont="1">
      <alignment horizontal="center" readingOrder="0"/>
    </xf>
    <xf borderId="13" fillId="5" fontId="1" numFmtId="1" xfId="0" applyBorder="1" applyFill="1" applyFont="1" applyNumberFormat="1"/>
    <xf borderId="20" fillId="5" fontId="15" numFmtId="9" xfId="0" applyAlignment="1" applyBorder="1" applyFill="1" applyFont="1" applyNumberFormat="1">
      <alignment horizontal="center" readingOrder="0"/>
    </xf>
    <xf borderId="21" fillId="5" fontId="15" numFmtId="3" xfId="0" applyAlignment="1" applyBorder="1" applyFill="1" applyFont="1" applyNumberFormat="1">
      <alignment horizontal="center" readingOrder="0"/>
    </xf>
    <xf borderId="42" fillId="0" fontId="8" numFmtId="0" xfId="0" applyAlignment="1" applyBorder="1" applyFont="1">
      <alignment horizontal="center" readingOrder="0" shrinkToFit="0" wrapText="1"/>
    </xf>
    <xf borderId="32" fillId="5" fontId="15" numFmtId="3" xfId="0" applyAlignment="1" applyBorder="1" applyFill="1" applyFont="1" applyNumberFormat="1">
      <alignment horizontal="center" readingOrder="0"/>
    </xf>
    <xf borderId="42" fillId="3" fontId="8" numFmtId="0" xfId="0" applyAlignment="1" applyBorder="1" applyFill="1" applyFont="1">
      <alignment horizontal="center" readingOrder="0"/>
    </xf>
    <xf borderId="1" fillId="0" fontId="18" numFmtId="0" xfId="0" applyAlignment="1" applyBorder="1" applyFont="1">
      <alignment horizontal="center" readingOrder="0"/>
    </xf>
    <xf borderId="13" fillId="5" fontId="15" numFmtId="3" xfId="0" applyAlignment="1" applyBorder="1" applyFill="1" applyFont="1" applyNumberFormat="1">
      <alignment horizontal="center" readingOrder="0"/>
    </xf>
    <xf borderId="41" fillId="5" fontId="1" numFmtId="1" xfId="0" applyAlignment="1" applyBorder="1" applyFill="1" applyFont="1" applyNumberFormat="1">
      <alignment horizontal="center"/>
    </xf>
    <xf borderId="1" fillId="0" fontId="18" numFmtId="10" xfId="0" applyAlignment="1" applyBorder="1" applyFont="1" applyNumberFormat="1">
      <alignment horizontal="center" readingOrder="0"/>
    </xf>
    <xf borderId="1" fillId="5" fontId="1" numFmtId="1" xfId="0" applyAlignment="1" applyBorder="1" applyFill="1" applyFont="1" applyNumberFormat="1">
      <alignment horizontal="center"/>
    </xf>
    <xf borderId="32" fillId="5" fontId="1" numFmtId="1" xfId="0" applyAlignment="1" applyBorder="1" applyFill="1" applyFont="1" applyNumberFormat="1">
      <alignment horizontal="center"/>
    </xf>
    <xf borderId="1" fillId="8" fontId="18" numFmtId="0" xfId="0" applyAlignment="1" applyBorder="1" applyFill="1" applyFont="1">
      <alignment horizontal="center" readingOrder="0"/>
    </xf>
    <xf borderId="4" fillId="5" fontId="8" numFmtId="0" xfId="0" applyAlignment="1" applyBorder="1" applyFill="1" applyFont="1">
      <alignment horizontal="center" readingOrder="0"/>
    </xf>
    <xf borderId="1" fillId="8" fontId="18" numFmtId="10" xfId="0" applyAlignment="1" applyBorder="1" applyFill="1" applyFont="1" applyNumberFormat="1">
      <alignment horizontal="center" readingOrder="0"/>
    </xf>
    <xf borderId="20" fillId="5" fontId="1" numFmtId="0" xfId="0" applyBorder="1" applyFill="1" applyFont="1"/>
    <xf borderId="0" fillId="5" fontId="1" numFmtId="0" xfId="0" applyFill="1" applyFont="1"/>
    <xf borderId="1" fillId="9" fontId="18" numFmtId="0" xfId="0" applyAlignment="1" applyBorder="1" applyFill="1" applyFont="1">
      <alignment horizontal="center" readingOrder="0"/>
    </xf>
    <xf borderId="21" fillId="0" fontId="16" numFmtId="1" xfId="0" applyAlignment="1" applyBorder="1" applyFont="1" applyNumberFormat="1">
      <alignment horizontal="center"/>
    </xf>
    <xf borderId="1" fillId="9" fontId="18" numFmtId="10" xfId="0" applyAlignment="1" applyBorder="1" applyFill="1" applyFont="1" applyNumberFormat="1">
      <alignment horizontal="center" readingOrder="0"/>
    </xf>
    <xf borderId="20" fillId="0" fontId="19" numFmtId="9" xfId="0" applyAlignment="1" applyBorder="1" applyFont="1" applyNumberFormat="1">
      <alignment horizontal="center" readingOrder="0"/>
    </xf>
    <xf borderId="21" fillId="0" fontId="1" numFmtId="1" xfId="0" applyAlignment="1" applyBorder="1" applyFont="1" applyNumberFormat="1">
      <alignment horizontal="center"/>
    </xf>
    <xf borderId="21" fillId="8" fontId="16" numFmtId="1" xfId="0" applyAlignment="1" applyBorder="1" applyFill="1" applyFont="1" applyNumberFormat="1">
      <alignment horizontal="center"/>
    </xf>
    <xf borderId="1" fillId="0" fontId="20" numFmtId="0" xfId="0" applyAlignment="1" applyBorder="1" applyFont="1">
      <alignment horizontal="center" readingOrder="0"/>
    </xf>
    <xf borderId="1" fillId="0" fontId="20" numFmtId="10" xfId="0" applyAlignment="1" applyBorder="1" applyFont="1" applyNumberFormat="1">
      <alignment horizontal="center" readingOrder="0"/>
    </xf>
    <xf borderId="1" fillId="8" fontId="20" numFmtId="0" xfId="0" applyAlignment="1" applyBorder="1" applyFill="1" applyFont="1">
      <alignment horizontal="center" readingOrder="0"/>
    </xf>
    <xf borderId="1" fillId="8" fontId="20" numFmtId="10" xfId="0" applyAlignment="1" applyBorder="1" applyFill="1" applyFont="1" applyNumberFormat="1">
      <alignment horizontal="center" readingOrder="0"/>
    </xf>
    <xf borderId="20" fillId="8" fontId="19" numFmtId="9" xfId="0" applyAlignment="1" applyBorder="1" applyFill="1" applyFont="1" applyNumberFormat="1">
      <alignment horizontal="center" readingOrder="0"/>
    </xf>
    <xf borderId="21" fillId="8" fontId="1" numFmtId="1" xfId="0" applyAlignment="1" applyBorder="1" applyFill="1" applyFont="1" applyNumberFormat="1">
      <alignment horizontal="center"/>
    </xf>
    <xf borderId="1" fillId="9" fontId="20" numFmtId="0" xfId="0" applyAlignment="1" applyBorder="1" applyFill="1" applyFont="1">
      <alignment horizontal="center" readingOrder="0"/>
    </xf>
    <xf borderId="1" fillId="9" fontId="20" numFmtId="10" xfId="0" applyAlignment="1" applyBorder="1" applyFill="1" applyFont="1" applyNumberFormat="1">
      <alignment horizontal="center" readingOrder="0"/>
    </xf>
    <xf borderId="16" fillId="3" fontId="8" numFmtId="0" xfId="0" applyBorder="1" applyFill="1" applyFont="1"/>
    <xf borderId="29" fillId="5" fontId="1" numFmtId="0" xfId="0" applyAlignment="1" applyBorder="1" applyFill="1" applyFont="1">
      <alignment horizontal="center" readingOrder="0"/>
    </xf>
    <xf borderId="0" fillId="3" fontId="8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1" fillId="8" fontId="1" numFmtId="10" xfId="0" applyAlignment="1" applyBorder="1" applyFill="1" applyFont="1" applyNumberFormat="1">
      <alignment horizontal="center" readingOrder="0"/>
    </xf>
    <xf borderId="1" fillId="9" fontId="1" numFmtId="0" xfId="0" applyAlignment="1" applyBorder="1" applyFill="1" applyFont="1">
      <alignment horizontal="center" readingOrder="0"/>
    </xf>
    <xf borderId="1" fillId="9" fontId="1" numFmtId="10" xfId="0" applyAlignment="1" applyBorder="1" applyFill="1" applyFont="1" applyNumberFormat="1">
      <alignment horizontal="center" readingOrder="0"/>
    </xf>
    <xf borderId="22" fillId="0" fontId="8" numFmtId="0" xfId="0" applyAlignment="1" applyBorder="1" applyFont="1">
      <alignment readingOrder="0"/>
    </xf>
    <xf borderId="46" fillId="5" fontId="13" numFmtId="0" xfId="0" applyAlignment="1" applyBorder="1" applyFill="1" applyFont="1">
      <alignment horizontal="center" readingOrder="0" shrinkToFit="0" vertical="bottom" wrapText="0"/>
    </xf>
    <xf borderId="33" fillId="0" fontId="13" numFmtId="0" xfId="0" applyAlignment="1" applyBorder="1" applyFont="1">
      <alignment horizontal="center" readingOrder="0" shrinkToFit="0" vertical="bottom" wrapText="0"/>
    </xf>
    <xf borderId="47" fillId="0" fontId="16" numFmtId="1" xfId="0" applyAlignment="1" applyBorder="1" applyFont="1" applyNumberFormat="1">
      <alignment horizontal="center"/>
    </xf>
    <xf borderId="40" fillId="0" fontId="16" numFmtId="1" xfId="0" applyAlignment="1" applyBorder="1" applyFont="1" applyNumberFormat="1">
      <alignment horizontal="center"/>
    </xf>
    <xf borderId="33" fillId="0" fontId="16" numFmtId="4" xfId="0" applyAlignment="1" applyBorder="1" applyFont="1" applyNumberFormat="1">
      <alignment horizontal="center"/>
    </xf>
    <xf borderId="47" fillId="0" fontId="15" numFmtId="3" xfId="0" applyAlignment="1" applyBorder="1" applyFont="1" applyNumberFormat="1">
      <alignment horizontal="center" readingOrder="0"/>
    </xf>
    <xf borderId="33" fillId="0" fontId="15" numFmtId="3" xfId="0" applyAlignment="1" applyBorder="1" applyFont="1" applyNumberFormat="1">
      <alignment horizontal="center" readingOrder="0"/>
    </xf>
    <xf borderId="48" fillId="0" fontId="15" numFmtId="3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40" fillId="0" fontId="1" numFmtId="1" xfId="0" applyAlignment="1" applyBorder="1" applyFont="1" applyNumberFormat="1">
      <alignment horizontal="center"/>
    </xf>
    <xf borderId="1" fillId="0" fontId="1" numFmtId="0" xfId="0" applyAlignment="1" applyBorder="1" applyFont="1">
      <alignment horizontal="right" readingOrder="0"/>
    </xf>
    <xf borderId="33" fillId="0" fontId="1" numFmtId="2" xfId="0" applyAlignment="1" applyBorder="1" applyFont="1" applyNumberFormat="1">
      <alignment horizontal="center"/>
    </xf>
    <xf borderId="1" fillId="0" fontId="8" numFmtId="10" xfId="0" applyBorder="1" applyFont="1" applyNumberFormat="1"/>
    <xf borderId="0" fillId="0" fontId="1" numFmtId="0" xfId="0" applyAlignment="1" applyFont="1">
      <alignment horizontal="center"/>
    </xf>
    <xf borderId="1" fillId="8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horizontal="right" readingOrder="0"/>
    </xf>
    <xf borderId="1" fillId="8" fontId="8" numFmtId="10" xfId="0" applyBorder="1" applyFill="1" applyFont="1" applyNumberFormat="1"/>
    <xf borderId="1" fillId="9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horizontal="right" readingOrder="0"/>
    </xf>
    <xf borderId="0" fillId="0" fontId="8" numFmtId="0" xfId="0" applyFont="1"/>
    <xf borderId="1" fillId="9" fontId="8" numFmtId="10" xfId="0" applyBorder="1" applyFill="1" applyFont="1" applyNumberFormat="1"/>
    <xf borderId="1" fillId="0" fontId="18" numFmtId="0" xfId="0" applyAlignment="1" applyBorder="1" applyFont="1">
      <alignment readingOrder="0"/>
    </xf>
    <xf borderId="1" fillId="0" fontId="18" numFmtId="0" xfId="0" applyAlignment="1" applyBorder="1" applyFont="1">
      <alignment horizontal="right" readingOrder="0"/>
    </xf>
    <xf borderId="1" fillId="0" fontId="18" numFmtId="10" xfId="0" applyBorder="1" applyFont="1" applyNumberFormat="1"/>
    <xf borderId="1" fillId="8" fontId="18" numFmtId="0" xfId="0" applyAlignment="1" applyBorder="1" applyFill="1" applyFont="1">
      <alignment readingOrder="0"/>
    </xf>
    <xf borderId="1" fillId="8" fontId="18" numFmtId="0" xfId="0" applyAlignment="1" applyBorder="1" applyFill="1" applyFont="1">
      <alignment horizontal="right" readingOrder="0"/>
    </xf>
    <xf borderId="1" fillId="8" fontId="18" numFmtId="10" xfId="0" applyBorder="1" applyFill="1" applyFont="1" applyNumberFormat="1"/>
    <xf borderId="1" fillId="9" fontId="18" numFmtId="0" xfId="0" applyAlignment="1" applyBorder="1" applyFill="1" applyFont="1">
      <alignment readingOrder="0"/>
    </xf>
    <xf borderId="1" fillId="9" fontId="18" numFmtId="0" xfId="0" applyAlignment="1" applyBorder="1" applyFill="1" applyFont="1">
      <alignment horizontal="right" readingOrder="0"/>
    </xf>
    <xf borderId="1" fillId="9" fontId="18" numFmtId="10" xfId="0" applyBorder="1" applyFill="1" applyFont="1" applyNumberFormat="1"/>
    <xf borderId="1" fillId="0" fontId="20" numFmtId="0" xfId="0" applyAlignment="1" applyBorder="1" applyFont="1">
      <alignment horizontal="left" readingOrder="0"/>
    </xf>
    <xf borderId="1" fillId="9" fontId="20" numFmtId="0" xfId="0" applyAlignment="1" applyBorder="1" applyFill="1" applyFont="1">
      <alignment horizontal="left" readingOrder="0"/>
    </xf>
    <xf borderId="0" fillId="0" fontId="1" numFmtId="0" xfId="0" applyAlignment="1" applyFont="1">
      <alignment horizontal="left"/>
    </xf>
    <xf borderId="49" fillId="0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j9uQYmHCssPk-gl_dTWgAW4_5ZeWOldgAFpYfB6fIY/edit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wkrPREwnfEMFSX3vA_GFVq0c2riI1f6/view?usp=sharin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3" width="18.0"/>
    <col customWidth="1" hidden="1" min="4" max="4" width="21.25"/>
    <col customWidth="1" hidden="1" min="5" max="5" width="24.5"/>
    <col customWidth="1" hidden="1" min="6" max="6" width="1.38"/>
    <col customWidth="1" hidden="1" min="7" max="7" width="4.13"/>
    <col customWidth="1" hidden="1" min="8" max="8" width="4.0"/>
    <col customWidth="1" hidden="1" min="9" max="9" width="28.5"/>
    <col customWidth="1" min="11" max="11" width="16.38"/>
  </cols>
  <sheetData>
    <row r="1">
      <c r="F1" s="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>
      <c r="A2" s="23" t="s">
        <v>21</v>
      </c>
      <c r="B2" s="37"/>
      <c r="C2" s="37"/>
      <c r="D2" s="37"/>
      <c r="E2" s="37"/>
      <c r="F2" s="31" t="s">
        <v>29</v>
      </c>
      <c r="G2" s="40"/>
      <c r="H2" s="40"/>
      <c r="I2" s="43" t="s">
        <v>41</v>
      </c>
      <c r="J2" s="4"/>
      <c r="K2" s="4"/>
      <c r="L2" s="4"/>
      <c r="M2" s="4"/>
      <c r="N2" s="4"/>
      <c r="O2" s="4"/>
      <c r="P2" s="4"/>
      <c r="Q2" s="4"/>
      <c r="R2" s="4"/>
      <c r="S2" s="4"/>
      <c r="T2" s="5"/>
    </row>
    <row r="3">
      <c r="A3" s="44"/>
      <c r="B3" s="44" t="s">
        <v>57</v>
      </c>
      <c r="C3" s="47"/>
      <c r="D3" s="44" t="s">
        <v>64</v>
      </c>
      <c r="E3" s="47" t="s">
        <v>67</v>
      </c>
      <c r="F3" s="52"/>
      <c r="G3" s="40"/>
      <c r="H3" s="40"/>
      <c r="I3" s="55"/>
      <c r="J3" s="59" t="s">
        <v>76</v>
      </c>
      <c r="K3" s="61" t="s">
        <v>82</v>
      </c>
      <c r="L3" s="59" t="s">
        <v>86</v>
      </c>
      <c r="M3" s="61" t="s">
        <v>89</v>
      </c>
      <c r="N3" s="59" t="s">
        <v>91</v>
      </c>
      <c r="O3" s="59" t="s">
        <v>92</v>
      </c>
      <c r="P3" s="55" t="s">
        <v>95</v>
      </c>
      <c r="Q3" s="59" t="s">
        <v>96</v>
      </c>
      <c r="R3" s="64" t="s">
        <v>98</v>
      </c>
      <c r="S3" s="66"/>
      <c r="T3" s="66"/>
    </row>
    <row r="4">
      <c r="A4" s="69" t="s">
        <v>107</v>
      </c>
      <c r="B4" s="72">
        <v>2.0</v>
      </c>
      <c r="C4" s="82">
        <f t="shared" ref="C4:C23" si="2">(B4/174)</f>
        <v>0.01149425287</v>
      </c>
      <c r="D4" s="85"/>
      <c r="E4" s="85"/>
      <c r="F4" s="86"/>
      <c r="G4" s="40"/>
      <c r="H4" s="40"/>
      <c r="I4" s="89" t="s">
        <v>107</v>
      </c>
      <c r="J4" s="55">
        <v>3.0</v>
      </c>
      <c r="K4" s="92">
        <v>3.0</v>
      </c>
      <c r="L4" s="97">
        <f t="shared" ref="L4:M4" si="1">(J4/160)</f>
        <v>0.01875</v>
      </c>
      <c r="M4" s="101">
        <f t="shared" si="1"/>
        <v>0.01875</v>
      </c>
      <c r="N4" s="97">
        <f t="shared" ref="N4:N6" si="4">(M4-C4)</f>
        <v>0.007255747126</v>
      </c>
      <c r="O4" s="55">
        <v>8.0</v>
      </c>
      <c r="P4" s="55">
        <v>8.0</v>
      </c>
      <c r="Q4" s="55"/>
      <c r="R4" s="55">
        <v>10.0</v>
      </c>
      <c r="S4" s="66"/>
      <c r="T4" s="66"/>
    </row>
    <row r="5">
      <c r="A5" s="69" t="s">
        <v>187</v>
      </c>
      <c r="B5" s="72">
        <v>10.0</v>
      </c>
      <c r="C5" s="82">
        <f t="shared" si="2"/>
        <v>0.05747126437</v>
      </c>
      <c r="D5" s="85"/>
      <c r="E5" s="85"/>
      <c r="F5" s="86"/>
      <c r="G5" s="40"/>
      <c r="H5" s="40"/>
      <c r="I5" s="89" t="s">
        <v>187</v>
      </c>
      <c r="J5" s="55">
        <v>13.0</v>
      </c>
      <c r="K5" s="92">
        <v>9.0</v>
      </c>
      <c r="L5" s="97">
        <f t="shared" ref="L5:M5" si="3">(J5/160)</f>
        <v>0.08125</v>
      </c>
      <c r="M5" s="101">
        <f t="shared" si="3"/>
        <v>0.05625</v>
      </c>
      <c r="N5" s="97">
        <f t="shared" si="4"/>
        <v>-0.001221264368</v>
      </c>
      <c r="O5" s="55">
        <v>13.0</v>
      </c>
      <c r="P5" s="55">
        <v>13.0</v>
      </c>
      <c r="Q5" s="55"/>
      <c r="R5" s="55">
        <v>15.0</v>
      </c>
      <c r="S5" s="66"/>
      <c r="T5" s="66"/>
    </row>
    <row r="6">
      <c r="A6" s="107" t="s">
        <v>213</v>
      </c>
      <c r="B6" s="108">
        <v>12.0</v>
      </c>
      <c r="C6" s="109">
        <f t="shared" si="2"/>
        <v>0.06896551724</v>
      </c>
      <c r="D6" s="110"/>
      <c r="E6" s="110"/>
      <c r="F6" s="86"/>
      <c r="G6" s="40"/>
      <c r="H6" s="40"/>
      <c r="I6" s="112" t="s">
        <v>213</v>
      </c>
      <c r="J6" s="115">
        <f>(J4+J5)</f>
        <v>16</v>
      </c>
      <c r="K6" s="92">
        <v>12.0</v>
      </c>
      <c r="L6" s="118">
        <f t="shared" ref="L6:M6" si="5">(J6/160)</f>
        <v>0.1</v>
      </c>
      <c r="M6" s="101">
        <f t="shared" si="5"/>
        <v>0.075</v>
      </c>
      <c r="N6" s="97">
        <f t="shared" si="4"/>
        <v>0.006034482759</v>
      </c>
      <c r="O6" s="115">
        <v>21.0</v>
      </c>
      <c r="P6" s="115">
        <v>21.0</v>
      </c>
      <c r="Q6" s="115"/>
      <c r="R6" s="115">
        <v>25.0</v>
      </c>
      <c r="S6" s="121"/>
      <c r="T6" s="121"/>
    </row>
    <row r="7">
      <c r="A7" s="69" t="s">
        <v>251</v>
      </c>
      <c r="B7" s="72">
        <v>21.0</v>
      </c>
      <c r="C7" s="82">
        <f t="shared" si="2"/>
        <v>0.1206896552</v>
      </c>
      <c r="D7" s="85"/>
      <c r="E7" s="85"/>
      <c r="F7" s="86"/>
      <c r="G7" s="40"/>
      <c r="H7" s="40"/>
      <c r="I7" s="89" t="s">
        <v>251</v>
      </c>
      <c r="J7" s="55">
        <v>21.0</v>
      </c>
      <c r="K7" s="92">
        <v>17.0</v>
      </c>
      <c r="L7" s="97">
        <f t="shared" ref="L7:M7" si="6">(J7/160)</f>
        <v>0.13125</v>
      </c>
      <c r="M7" s="101">
        <f t="shared" si="6"/>
        <v>0.10625</v>
      </c>
      <c r="N7" s="97">
        <f t="shared" ref="N7:N23" si="8">(M7-L7)</f>
        <v>-0.025</v>
      </c>
      <c r="O7" s="55">
        <v>20.0</v>
      </c>
      <c r="P7" s="55">
        <v>20.0</v>
      </c>
      <c r="Q7" s="55"/>
      <c r="R7" s="55">
        <v>30.0</v>
      </c>
      <c r="S7" s="66"/>
      <c r="T7" s="66"/>
    </row>
    <row r="8">
      <c r="A8" s="69" t="s">
        <v>270</v>
      </c>
      <c r="B8" s="72">
        <v>21.0</v>
      </c>
      <c r="C8" s="82">
        <f t="shared" si="2"/>
        <v>0.1206896552</v>
      </c>
      <c r="D8" s="85"/>
      <c r="E8" s="85"/>
      <c r="F8" s="86"/>
      <c r="G8" s="40"/>
      <c r="H8" s="40"/>
      <c r="I8" s="89" t="s">
        <v>270</v>
      </c>
      <c r="J8" s="55">
        <v>21.0</v>
      </c>
      <c r="K8" s="92">
        <v>20.0</v>
      </c>
      <c r="L8" s="97">
        <f t="shared" ref="L8:M8" si="7">(J8/160)</f>
        <v>0.13125</v>
      </c>
      <c r="M8" s="101">
        <f t="shared" si="7"/>
        <v>0.125</v>
      </c>
      <c r="N8" s="97">
        <f t="shared" si="8"/>
        <v>-0.00625</v>
      </c>
      <c r="O8" s="55">
        <v>10.0</v>
      </c>
      <c r="P8" s="55">
        <v>10.0</v>
      </c>
      <c r="Q8" s="55"/>
      <c r="R8" s="55">
        <v>20.0</v>
      </c>
      <c r="S8" s="66"/>
      <c r="T8" s="66"/>
    </row>
    <row r="9">
      <c r="A9" s="107" t="s">
        <v>283</v>
      </c>
      <c r="B9" s="108">
        <v>54.0</v>
      </c>
      <c r="C9" s="109">
        <f t="shared" si="2"/>
        <v>0.3103448276</v>
      </c>
      <c r="D9" s="110"/>
      <c r="E9" s="110"/>
      <c r="F9" s="86"/>
      <c r="G9" s="40"/>
      <c r="H9" s="40"/>
      <c r="I9" s="112" t="s">
        <v>283</v>
      </c>
      <c r="J9" s="115">
        <v>58.0</v>
      </c>
      <c r="K9" s="92">
        <v>49.0</v>
      </c>
      <c r="L9" s="118">
        <f t="shared" ref="L9:M9" si="9">(J9/160)</f>
        <v>0.3625</v>
      </c>
      <c r="M9" s="101">
        <f t="shared" si="9"/>
        <v>0.30625</v>
      </c>
      <c r="N9" s="97">
        <f t="shared" si="8"/>
        <v>-0.05625</v>
      </c>
      <c r="O9" s="115">
        <v>51.0</v>
      </c>
      <c r="P9" s="115">
        <v>51.0</v>
      </c>
      <c r="Q9" s="115"/>
      <c r="R9" s="115">
        <v>75.0</v>
      </c>
      <c r="S9" s="121"/>
      <c r="T9" s="121"/>
    </row>
    <row r="10">
      <c r="A10" s="69" t="s">
        <v>296</v>
      </c>
      <c r="B10" s="72">
        <v>26.0</v>
      </c>
      <c r="C10" s="82">
        <f t="shared" si="2"/>
        <v>0.1494252874</v>
      </c>
      <c r="D10" s="85"/>
      <c r="E10" s="85"/>
      <c r="F10" s="86"/>
      <c r="G10" s="40"/>
      <c r="H10" s="40"/>
      <c r="I10" s="89" t="s">
        <v>296</v>
      </c>
      <c r="J10" s="55">
        <v>28.0</v>
      </c>
      <c r="K10" s="92">
        <v>18.0</v>
      </c>
      <c r="L10" s="97">
        <f t="shared" ref="L10:M10" si="10">(J10/160)</f>
        <v>0.175</v>
      </c>
      <c r="M10" s="101">
        <f t="shared" si="10"/>
        <v>0.1125</v>
      </c>
      <c r="N10" s="97">
        <f t="shared" si="8"/>
        <v>-0.0625</v>
      </c>
      <c r="O10" s="55">
        <v>15.0</v>
      </c>
      <c r="P10" s="55">
        <v>15.0</v>
      </c>
      <c r="Q10" s="55"/>
      <c r="R10" s="55">
        <v>20.0</v>
      </c>
      <c r="S10" s="66"/>
      <c r="T10" s="66"/>
    </row>
    <row r="11">
      <c r="A11" s="69" t="s">
        <v>308</v>
      </c>
      <c r="B11" s="72">
        <v>15.0</v>
      </c>
      <c r="C11" s="82">
        <f t="shared" si="2"/>
        <v>0.08620689655</v>
      </c>
      <c r="D11" s="85"/>
      <c r="E11" s="85"/>
      <c r="F11" s="86"/>
      <c r="G11" s="40"/>
      <c r="H11" s="40"/>
      <c r="I11" s="89" t="s">
        <v>308</v>
      </c>
      <c r="J11" s="55">
        <v>17.0</v>
      </c>
      <c r="K11" s="92">
        <v>29.0</v>
      </c>
      <c r="L11" s="97">
        <f t="shared" ref="L11:M11" si="11">(J11/160)</f>
        <v>0.10625</v>
      </c>
      <c r="M11" s="101">
        <f t="shared" si="11"/>
        <v>0.18125</v>
      </c>
      <c r="N11" s="97">
        <f t="shared" si="8"/>
        <v>0.075</v>
      </c>
      <c r="O11" s="55">
        <v>15.0</v>
      </c>
      <c r="P11" s="55">
        <v>15.0</v>
      </c>
      <c r="Q11" s="55"/>
      <c r="R11" s="55">
        <v>20.0</v>
      </c>
      <c r="S11" s="66"/>
      <c r="T11" s="66"/>
    </row>
    <row r="12">
      <c r="A12" s="142" t="s">
        <v>323</v>
      </c>
      <c r="B12" s="143">
        <v>95.0</v>
      </c>
      <c r="C12" s="144">
        <f t="shared" si="2"/>
        <v>0.5459770115</v>
      </c>
      <c r="D12" s="110"/>
      <c r="E12" s="110"/>
      <c r="F12" s="86"/>
      <c r="G12" s="40"/>
      <c r="H12" s="40"/>
      <c r="I12" s="112" t="s">
        <v>323</v>
      </c>
      <c r="J12" s="115">
        <f>(J9+J10+J11)</f>
        <v>103</v>
      </c>
      <c r="K12" s="92">
        <v>96.0</v>
      </c>
      <c r="L12" s="118">
        <f t="shared" ref="L12:M12" si="12">(J12/160)</f>
        <v>0.64375</v>
      </c>
      <c r="M12" s="101">
        <f t="shared" si="12"/>
        <v>0.6</v>
      </c>
      <c r="N12" s="97">
        <f t="shared" si="8"/>
        <v>-0.04375</v>
      </c>
      <c r="O12" s="115">
        <v>81.0</v>
      </c>
      <c r="P12" s="115">
        <v>81.0</v>
      </c>
      <c r="Q12" s="115"/>
      <c r="R12" s="115">
        <v>115.0</v>
      </c>
      <c r="S12" s="121"/>
      <c r="T12" s="121"/>
    </row>
    <row r="13">
      <c r="A13" s="69" t="s">
        <v>365</v>
      </c>
      <c r="B13" s="72">
        <v>21.0</v>
      </c>
      <c r="C13" s="82">
        <f t="shared" si="2"/>
        <v>0.1206896552</v>
      </c>
      <c r="D13" s="85"/>
      <c r="E13" s="85"/>
      <c r="F13" s="86"/>
      <c r="G13" s="40"/>
      <c r="H13" s="40"/>
      <c r="I13" s="89" t="s">
        <v>365</v>
      </c>
      <c r="J13" s="55">
        <v>20.0</v>
      </c>
      <c r="K13" s="92">
        <v>20.0</v>
      </c>
      <c r="L13" s="97">
        <f t="shared" ref="L13:M13" si="13">(J13/160)</f>
        <v>0.125</v>
      </c>
      <c r="M13" s="101">
        <f t="shared" si="13"/>
        <v>0.125</v>
      </c>
      <c r="N13" s="97">
        <f t="shared" si="8"/>
        <v>0</v>
      </c>
      <c r="O13" s="55">
        <v>15.0</v>
      </c>
      <c r="P13" s="55">
        <v>15.0</v>
      </c>
      <c r="Q13" s="55"/>
      <c r="R13" s="55">
        <v>20.0</v>
      </c>
      <c r="S13" s="66"/>
      <c r="T13" s="66"/>
    </row>
    <row r="14">
      <c r="A14" s="69" t="s">
        <v>380</v>
      </c>
      <c r="B14" s="72">
        <v>15.0</v>
      </c>
      <c r="C14" s="82">
        <f t="shared" si="2"/>
        <v>0.08620689655</v>
      </c>
      <c r="D14" s="85"/>
      <c r="E14" s="85"/>
      <c r="F14" s="86"/>
      <c r="G14" s="40"/>
      <c r="H14" s="40"/>
      <c r="I14" s="89" t="s">
        <v>380</v>
      </c>
      <c r="J14" s="55">
        <v>10.0</v>
      </c>
      <c r="K14" s="92">
        <v>7.0</v>
      </c>
      <c r="L14" s="97">
        <f t="shared" ref="L14:M14" si="14">(J14/160)</f>
        <v>0.0625</v>
      </c>
      <c r="M14" s="101">
        <f t="shared" si="14"/>
        <v>0.04375</v>
      </c>
      <c r="N14" s="97">
        <f t="shared" si="8"/>
        <v>-0.01875</v>
      </c>
      <c r="O14" s="55">
        <v>15.0</v>
      </c>
      <c r="P14" s="55">
        <v>15.0</v>
      </c>
      <c r="Q14" s="55"/>
      <c r="R14" s="55">
        <v>10.0</v>
      </c>
      <c r="S14" s="66"/>
      <c r="T14" s="66"/>
    </row>
    <row r="15">
      <c r="A15" s="107" t="s">
        <v>390</v>
      </c>
      <c r="B15" s="108">
        <v>131.0</v>
      </c>
      <c r="C15" s="109">
        <f t="shared" si="2"/>
        <v>0.7528735632</v>
      </c>
      <c r="D15" s="110"/>
      <c r="E15" s="110"/>
      <c r="F15" s="86"/>
      <c r="G15" s="40"/>
      <c r="H15" s="40"/>
      <c r="I15" s="112" t="s">
        <v>390</v>
      </c>
      <c r="J15" s="115">
        <v>140.0</v>
      </c>
      <c r="K15" s="92">
        <v>123.0</v>
      </c>
      <c r="L15" s="118">
        <f t="shared" ref="L15:M15" si="15">(J15/160)</f>
        <v>0.875</v>
      </c>
      <c r="M15" s="101">
        <f t="shared" si="15"/>
        <v>0.76875</v>
      </c>
      <c r="N15" s="97">
        <f t="shared" si="8"/>
        <v>-0.10625</v>
      </c>
      <c r="O15" s="115">
        <v>111.0</v>
      </c>
      <c r="P15" s="115">
        <v>111.0</v>
      </c>
      <c r="Q15" s="115"/>
      <c r="R15" s="115">
        <v>145.0</v>
      </c>
      <c r="S15" s="121"/>
      <c r="T15" s="121"/>
    </row>
    <row r="16">
      <c r="A16" s="69" t="s">
        <v>400</v>
      </c>
      <c r="B16" s="72">
        <v>14.0</v>
      </c>
      <c r="C16" s="82">
        <f t="shared" si="2"/>
        <v>0.08045977011</v>
      </c>
      <c r="D16" s="85"/>
      <c r="E16" s="85"/>
      <c r="F16" s="86"/>
      <c r="G16" s="40"/>
      <c r="H16" s="40"/>
      <c r="I16" s="89" t="s">
        <v>400</v>
      </c>
      <c r="J16" s="55">
        <v>10.0</v>
      </c>
      <c r="K16" s="92">
        <v>13.0</v>
      </c>
      <c r="L16" s="97">
        <f t="shared" ref="L16:M16" si="16">(J16/160)</f>
        <v>0.0625</v>
      </c>
      <c r="M16" s="101">
        <f t="shared" si="16"/>
        <v>0.08125</v>
      </c>
      <c r="N16" s="97">
        <f t="shared" si="8"/>
        <v>0.01875</v>
      </c>
      <c r="O16" s="55">
        <v>10.0</v>
      </c>
      <c r="P16" s="55">
        <v>10.0</v>
      </c>
      <c r="Q16" s="55"/>
      <c r="R16" s="55">
        <v>10.0</v>
      </c>
      <c r="S16" s="66"/>
      <c r="T16" s="66"/>
    </row>
    <row r="17">
      <c r="A17" s="69" t="s">
        <v>408</v>
      </c>
      <c r="B17" s="72">
        <v>10.0</v>
      </c>
      <c r="C17" s="82">
        <f t="shared" si="2"/>
        <v>0.05747126437</v>
      </c>
      <c r="D17" s="85"/>
      <c r="E17" s="85"/>
      <c r="F17" s="86"/>
      <c r="G17" s="40"/>
      <c r="H17" s="40"/>
      <c r="I17" s="89" t="s">
        <v>408</v>
      </c>
      <c r="J17" s="55">
        <v>10.0</v>
      </c>
      <c r="K17" s="92">
        <v>10.0</v>
      </c>
      <c r="L17" s="97">
        <f t="shared" ref="L17:M17" si="17">(J17/160)</f>
        <v>0.0625</v>
      </c>
      <c r="M17" s="101">
        <f t="shared" si="17"/>
        <v>0.0625</v>
      </c>
      <c r="N17" s="97">
        <f t="shared" si="8"/>
        <v>0</v>
      </c>
      <c r="O17" s="55">
        <v>10.0</v>
      </c>
      <c r="P17" s="55">
        <v>10.0</v>
      </c>
      <c r="Q17" s="55"/>
      <c r="R17" s="55">
        <v>10.0</v>
      </c>
      <c r="S17" s="66"/>
      <c r="T17" s="66"/>
    </row>
    <row r="18">
      <c r="A18" s="107" t="s">
        <v>417</v>
      </c>
      <c r="B18" s="108">
        <v>155.0</v>
      </c>
      <c r="C18" s="109">
        <f t="shared" si="2"/>
        <v>0.8908045977</v>
      </c>
      <c r="D18" s="110"/>
      <c r="E18" s="110"/>
      <c r="F18" s="86"/>
      <c r="G18" s="40"/>
      <c r="H18" s="40"/>
      <c r="I18" s="112" t="s">
        <v>417</v>
      </c>
      <c r="J18" s="115">
        <v>160.0</v>
      </c>
      <c r="K18" s="92">
        <v>146.0</v>
      </c>
      <c r="L18" s="118">
        <f t="shared" ref="L18:M18" si="18">(J18/160)</f>
        <v>1</v>
      </c>
      <c r="M18" s="101">
        <f t="shared" si="18"/>
        <v>0.9125</v>
      </c>
      <c r="N18" s="97">
        <f t="shared" si="8"/>
        <v>-0.0875</v>
      </c>
      <c r="O18" s="115">
        <v>131.0</v>
      </c>
      <c r="P18" s="115">
        <v>131.0</v>
      </c>
      <c r="Q18" s="115"/>
      <c r="R18" s="115">
        <v>165.0</v>
      </c>
      <c r="S18" s="121"/>
      <c r="T18" s="121"/>
    </row>
    <row r="19">
      <c r="A19" s="69" t="s">
        <v>429</v>
      </c>
      <c r="B19" s="72">
        <v>5.0</v>
      </c>
      <c r="C19" s="82">
        <f t="shared" si="2"/>
        <v>0.02873563218</v>
      </c>
      <c r="D19" s="85"/>
      <c r="E19" s="85"/>
      <c r="F19" s="86"/>
      <c r="G19" s="40"/>
      <c r="H19" s="40"/>
      <c r="I19" s="89" t="s">
        <v>429</v>
      </c>
      <c r="J19" s="55">
        <v>0.0</v>
      </c>
      <c r="K19" s="92">
        <v>4.0</v>
      </c>
      <c r="L19" s="97">
        <f t="shared" ref="L19:M19" si="19">(J19/160)</f>
        <v>0</v>
      </c>
      <c r="M19" s="101">
        <f t="shared" si="19"/>
        <v>0.025</v>
      </c>
      <c r="N19" s="97">
        <f t="shared" si="8"/>
        <v>0.025</v>
      </c>
      <c r="O19" s="55">
        <v>4.0</v>
      </c>
      <c r="P19" s="55">
        <v>4.0</v>
      </c>
      <c r="Q19" s="55"/>
      <c r="R19" s="55">
        <v>0.0</v>
      </c>
      <c r="S19" s="66"/>
      <c r="T19" s="66"/>
    </row>
    <row r="20">
      <c r="A20" s="69" t="s">
        <v>435</v>
      </c>
      <c r="B20" s="72">
        <v>7.0</v>
      </c>
      <c r="C20" s="82">
        <f t="shared" si="2"/>
        <v>0.04022988506</v>
      </c>
      <c r="D20" s="85"/>
      <c r="E20" s="85"/>
      <c r="F20" s="86"/>
      <c r="G20" s="40"/>
      <c r="H20" s="40"/>
      <c r="I20" s="89" t="s">
        <v>435</v>
      </c>
      <c r="J20" s="55">
        <v>0.0</v>
      </c>
      <c r="K20" s="92">
        <v>3.0</v>
      </c>
      <c r="L20" s="97">
        <f t="shared" ref="L20:M20" si="20">(J20/160)</f>
        <v>0</v>
      </c>
      <c r="M20" s="101">
        <f t="shared" si="20"/>
        <v>0.01875</v>
      </c>
      <c r="N20" s="97">
        <f t="shared" si="8"/>
        <v>0.01875</v>
      </c>
      <c r="O20" s="55">
        <v>4.0</v>
      </c>
      <c r="P20" s="55">
        <v>4.0</v>
      </c>
      <c r="Q20" s="55"/>
      <c r="R20" s="55">
        <v>0.0</v>
      </c>
      <c r="S20" s="66"/>
      <c r="T20" s="66"/>
    </row>
    <row r="21">
      <c r="A21" s="107" t="s">
        <v>442</v>
      </c>
      <c r="B21" s="108">
        <v>167.0</v>
      </c>
      <c r="C21" s="109">
        <f t="shared" si="2"/>
        <v>0.9597701149</v>
      </c>
      <c r="D21" s="110"/>
      <c r="E21" s="110"/>
      <c r="F21" s="86"/>
      <c r="G21" s="40"/>
      <c r="H21" s="40"/>
      <c r="I21" s="112" t="s">
        <v>442</v>
      </c>
      <c r="J21" s="55">
        <v>0.0</v>
      </c>
      <c r="K21" s="92">
        <v>153.0</v>
      </c>
      <c r="L21" s="97">
        <f t="shared" ref="L21:M21" si="21">(J21/160)</f>
        <v>0</v>
      </c>
      <c r="M21" s="101">
        <f t="shared" si="21"/>
        <v>0.95625</v>
      </c>
      <c r="N21" s="97">
        <f t="shared" si="8"/>
        <v>0.95625</v>
      </c>
      <c r="O21" s="55">
        <v>4.0</v>
      </c>
      <c r="P21" s="55">
        <v>4.0</v>
      </c>
      <c r="Q21" s="55"/>
      <c r="R21" s="55">
        <v>0.0</v>
      </c>
      <c r="S21" s="66"/>
      <c r="T21" s="66"/>
    </row>
    <row r="22">
      <c r="A22" s="69" t="s">
        <v>445</v>
      </c>
      <c r="B22" s="72">
        <v>2.0</v>
      </c>
      <c r="C22" s="82">
        <f t="shared" si="2"/>
        <v>0.01149425287</v>
      </c>
      <c r="D22" s="85"/>
      <c r="E22" s="85"/>
      <c r="F22" s="86"/>
      <c r="G22" s="40"/>
      <c r="H22" s="40"/>
      <c r="I22" s="89" t="s">
        <v>445</v>
      </c>
      <c r="J22" s="55">
        <v>0.0</v>
      </c>
      <c r="K22" s="92">
        <v>7.0</v>
      </c>
      <c r="L22" s="97">
        <f t="shared" ref="L22:M22" si="22">(J22/160)</f>
        <v>0</v>
      </c>
      <c r="M22" s="101">
        <f t="shared" si="22"/>
        <v>0.04375</v>
      </c>
      <c r="N22" s="97">
        <f t="shared" si="8"/>
        <v>0.04375</v>
      </c>
      <c r="O22" s="55">
        <v>4.0</v>
      </c>
      <c r="P22" s="55">
        <v>4.0</v>
      </c>
      <c r="Q22" s="55"/>
      <c r="R22" s="55">
        <v>0.0</v>
      </c>
      <c r="S22" s="66"/>
      <c r="T22" s="66"/>
    </row>
    <row r="23">
      <c r="A23" s="69" t="s">
        <v>449</v>
      </c>
      <c r="B23" s="72">
        <v>5.0</v>
      </c>
      <c r="C23" s="82">
        <f t="shared" si="2"/>
        <v>0.02873563218</v>
      </c>
      <c r="D23" s="85"/>
      <c r="E23" s="85"/>
      <c r="F23" s="86"/>
      <c r="G23" s="40"/>
      <c r="H23" s="40"/>
      <c r="I23" s="89" t="s">
        <v>449</v>
      </c>
      <c r="J23" s="55">
        <v>0.0</v>
      </c>
      <c r="K23" s="92">
        <v>1.0</v>
      </c>
      <c r="L23" s="97">
        <f t="shared" ref="L23:M23" si="23">(J23/160)</f>
        <v>0</v>
      </c>
      <c r="M23" s="101">
        <f t="shared" si="23"/>
        <v>0.00625</v>
      </c>
      <c r="N23" s="97">
        <f t="shared" si="8"/>
        <v>0.00625</v>
      </c>
      <c r="O23" s="55">
        <v>3.0</v>
      </c>
      <c r="P23" s="55">
        <v>3.0</v>
      </c>
      <c r="Q23" s="55"/>
      <c r="R23" s="55">
        <v>0.0</v>
      </c>
      <c r="S23" s="66"/>
      <c r="T23" s="66"/>
    </row>
    <row r="24">
      <c r="F24" s="9"/>
      <c r="G24" s="40"/>
      <c r="H24" s="40"/>
    </row>
    <row r="25">
      <c r="A25" s="168" t="s">
        <v>455</v>
      </c>
      <c r="B25" s="37"/>
      <c r="C25" s="37"/>
      <c r="D25" s="37"/>
      <c r="E25" s="37"/>
      <c r="F25" s="169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</row>
    <row r="26">
      <c r="A26" s="44"/>
      <c r="B26" s="44" t="s">
        <v>462</v>
      </c>
      <c r="C26" s="47" t="s">
        <v>75</v>
      </c>
      <c r="D26" s="44" t="s">
        <v>64</v>
      </c>
      <c r="E26" s="47" t="s">
        <v>463</v>
      </c>
      <c r="F26" s="52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</row>
    <row r="27">
      <c r="A27" s="170" t="s">
        <v>466</v>
      </c>
      <c r="B27" s="170">
        <v>2.0</v>
      </c>
      <c r="C27" s="171">
        <f t="shared" ref="C27:C46" si="24">(B27/160)</f>
        <v>0.0125</v>
      </c>
      <c r="D27" s="85"/>
      <c r="E27" s="85"/>
      <c r="F27" s="86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</row>
    <row r="28">
      <c r="A28" s="170" t="s">
        <v>476</v>
      </c>
      <c r="B28" s="170">
        <v>14.0</v>
      </c>
      <c r="C28" s="171">
        <f t="shared" si="24"/>
        <v>0.0875</v>
      </c>
      <c r="D28" s="85"/>
      <c r="E28" s="85"/>
      <c r="F28" s="86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</row>
    <row r="29">
      <c r="A29" s="172" t="s">
        <v>482</v>
      </c>
      <c r="B29" s="172">
        <v>16.0</v>
      </c>
      <c r="C29" s="173">
        <f t="shared" si="24"/>
        <v>0.1</v>
      </c>
      <c r="D29" s="110"/>
      <c r="E29" s="110"/>
      <c r="F29" s="86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</row>
    <row r="30">
      <c r="A30" s="170" t="s">
        <v>486</v>
      </c>
      <c r="B30" s="170">
        <v>20.0</v>
      </c>
      <c r="C30" s="171">
        <f t="shared" si="24"/>
        <v>0.125</v>
      </c>
      <c r="D30" s="85"/>
      <c r="E30" s="85"/>
      <c r="F30" s="86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>
      <c r="A31" s="170" t="s">
        <v>490</v>
      </c>
      <c r="B31" s="170">
        <v>22.0</v>
      </c>
      <c r="C31" s="171">
        <f t="shared" si="24"/>
        <v>0.1375</v>
      </c>
      <c r="D31" s="85"/>
      <c r="E31" s="85"/>
      <c r="F31" s="86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</row>
    <row r="32">
      <c r="A32" s="172" t="s">
        <v>493</v>
      </c>
      <c r="B32" s="172">
        <v>58.0</v>
      </c>
      <c r="C32" s="173">
        <f t="shared" si="24"/>
        <v>0.3625</v>
      </c>
      <c r="D32" s="110"/>
      <c r="E32" s="110"/>
      <c r="F32" s="86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</row>
    <row r="33">
      <c r="A33" s="170" t="s">
        <v>495</v>
      </c>
      <c r="B33" s="170">
        <v>18.0</v>
      </c>
      <c r="C33" s="171">
        <f t="shared" si="24"/>
        <v>0.1125</v>
      </c>
      <c r="D33" s="85"/>
      <c r="E33" s="85"/>
      <c r="F33" s="86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</row>
    <row r="34">
      <c r="A34" s="170" t="s">
        <v>498</v>
      </c>
      <c r="B34" s="170">
        <v>17.0</v>
      </c>
      <c r="C34" s="171">
        <f t="shared" si="24"/>
        <v>0.10625</v>
      </c>
      <c r="D34" s="85"/>
      <c r="E34" s="85"/>
      <c r="F34" s="86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</row>
    <row r="35">
      <c r="A35" s="174" t="s">
        <v>501</v>
      </c>
      <c r="B35" s="174">
        <v>93.0</v>
      </c>
      <c r="C35" s="175">
        <f t="shared" si="24"/>
        <v>0.58125</v>
      </c>
      <c r="D35" s="110"/>
      <c r="E35" s="110"/>
      <c r="F35" s="86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</row>
    <row r="36">
      <c r="A36" s="170" t="s">
        <v>504</v>
      </c>
      <c r="B36" s="170">
        <v>18.0</v>
      </c>
      <c r="C36" s="171">
        <f t="shared" si="24"/>
        <v>0.1125</v>
      </c>
      <c r="D36" s="85"/>
      <c r="E36" s="85"/>
      <c r="F36" s="8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</row>
    <row r="37">
      <c r="A37" s="170" t="s">
        <v>507</v>
      </c>
      <c r="B37" s="170">
        <v>10.0</v>
      </c>
      <c r="C37" s="171">
        <f t="shared" si="24"/>
        <v>0.0625</v>
      </c>
      <c r="D37" s="85"/>
      <c r="E37" s="85"/>
      <c r="F37" s="86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</row>
    <row r="38">
      <c r="A38" s="172" t="s">
        <v>510</v>
      </c>
      <c r="B38" s="172">
        <v>121.0</v>
      </c>
      <c r="C38" s="173">
        <f t="shared" si="24"/>
        <v>0.75625</v>
      </c>
      <c r="D38" s="110"/>
      <c r="E38" s="110"/>
      <c r="F38" s="86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</row>
    <row r="39">
      <c r="A39" s="170" t="s">
        <v>513</v>
      </c>
      <c r="B39" s="170">
        <v>15.0</v>
      </c>
      <c r="C39" s="171">
        <f t="shared" si="24"/>
        <v>0.09375</v>
      </c>
      <c r="D39" s="85"/>
      <c r="E39" s="85"/>
      <c r="F39" s="86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</row>
    <row r="40">
      <c r="A40" s="170" t="s">
        <v>516</v>
      </c>
      <c r="B40" s="170">
        <v>8.0</v>
      </c>
      <c r="C40" s="171">
        <f t="shared" si="24"/>
        <v>0.05</v>
      </c>
      <c r="D40" s="85"/>
      <c r="E40" s="85"/>
      <c r="F40" s="86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</row>
    <row r="41">
      <c r="A41" s="172" t="s">
        <v>517</v>
      </c>
      <c r="B41" s="172">
        <v>144.0</v>
      </c>
      <c r="C41" s="173">
        <f t="shared" si="24"/>
        <v>0.9</v>
      </c>
      <c r="D41" s="110"/>
      <c r="E41" s="110"/>
      <c r="F41" s="86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</row>
    <row r="42">
      <c r="A42" s="170" t="s">
        <v>520</v>
      </c>
      <c r="B42" s="170">
        <v>3.0</v>
      </c>
      <c r="C42" s="171">
        <f t="shared" si="24"/>
        <v>0.01875</v>
      </c>
      <c r="D42" s="85"/>
      <c r="E42" s="85"/>
      <c r="F42" s="86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</row>
    <row r="43">
      <c r="A43" s="170" t="s">
        <v>524</v>
      </c>
      <c r="B43" s="170">
        <v>5.0</v>
      </c>
      <c r="C43" s="171">
        <f t="shared" si="24"/>
        <v>0.03125</v>
      </c>
      <c r="D43" s="85"/>
      <c r="E43" s="85"/>
      <c r="F43" s="86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</row>
    <row r="44">
      <c r="A44" s="172" t="s">
        <v>527</v>
      </c>
      <c r="B44" s="172">
        <v>152.0</v>
      </c>
      <c r="C44" s="173">
        <f t="shared" si="24"/>
        <v>0.95</v>
      </c>
      <c r="D44" s="110"/>
      <c r="E44" s="110"/>
      <c r="F44" s="86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</row>
    <row r="45">
      <c r="A45" s="170" t="s">
        <v>529</v>
      </c>
      <c r="B45" s="170">
        <v>4.0</v>
      </c>
      <c r="C45" s="171">
        <f t="shared" si="24"/>
        <v>0.025</v>
      </c>
      <c r="D45" s="85"/>
      <c r="E45" s="85"/>
      <c r="F45" s="86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</row>
    <row r="46">
      <c r="A46" s="170" t="s">
        <v>532</v>
      </c>
      <c r="B46" s="170">
        <v>4.0</v>
      </c>
      <c r="C46" s="171">
        <f t="shared" si="24"/>
        <v>0.025</v>
      </c>
      <c r="D46" s="85"/>
      <c r="E46" s="85"/>
      <c r="F46" s="86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</row>
    <row r="47">
      <c r="F47" s="9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</row>
    <row r="48">
      <c r="A48" s="186" t="s">
        <v>535</v>
      </c>
      <c r="B48" s="4"/>
      <c r="C48" s="4"/>
      <c r="D48" s="4"/>
      <c r="E48" s="4"/>
      <c r="F48" s="5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</row>
    <row r="49">
      <c r="A49" s="189"/>
      <c r="B49" s="189" t="s">
        <v>57</v>
      </c>
      <c r="C49" s="47" t="s">
        <v>75</v>
      </c>
      <c r="D49" s="189" t="s">
        <v>64</v>
      </c>
      <c r="E49" s="193" t="s">
        <v>67</v>
      </c>
      <c r="F49" s="195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</row>
    <row r="50">
      <c r="A50" s="196" t="s">
        <v>466</v>
      </c>
      <c r="B50" s="196">
        <v>1.0</v>
      </c>
      <c r="C50" s="199">
        <f t="shared" ref="C50:C69" si="25">(B50/160)</f>
        <v>0.00625</v>
      </c>
      <c r="D50" s="85"/>
      <c r="E50" s="85"/>
      <c r="F50" s="86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</row>
    <row r="51">
      <c r="A51" s="196" t="s">
        <v>476</v>
      </c>
      <c r="B51" s="196">
        <v>4.0</v>
      </c>
      <c r="C51" s="199">
        <f t="shared" si="25"/>
        <v>0.025</v>
      </c>
      <c r="D51" s="85"/>
      <c r="E51" s="85"/>
      <c r="F51" s="86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</row>
    <row r="52">
      <c r="A52" s="202" t="s">
        <v>482</v>
      </c>
      <c r="B52" s="202">
        <v>5.0</v>
      </c>
      <c r="C52" s="204">
        <f t="shared" si="25"/>
        <v>0.03125</v>
      </c>
      <c r="D52" s="110"/>
      <c r="E52" s="110"/>
      <c r="F52" s="86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</row>
    <row r="53">
      <c r="A53" s="196" t="s">
        <v>486</v>
      </c>
      <c r="B53" s="196">
        <v>16.0</v>
      </c>
      <c r="C53" s="199">
        <f t="shared" si="25"/>
        <v>0.1</v>
      </c>
      <c r="D53" s="85"/>
      <c r="E53" s="85"/>
      <c r="F53" s="86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</row>
    <row r="54">
      <c r="A54" s="196" t="s">
        <v>490</v>
      </c>
      <c r="B54" s="196">
        <v>11.0</v>
      </c>
      <c r="C54" s="199">
        <f t="shared" si="25"/>
        <v>0.06875</v>
      </c>
      <c r="D54" s="85"/>
      <c r="E54" s="85"/>
      <c r="F54" s="86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</row>
    <row r="55">
      <c r="A55" s="202" t="s">
        <v>493</v>
      </c>
      <c r="B55" s="202">
        <v>32.0</v>
      </c>
      <c r="C55" s="204">
        <f t="shared" si="25"/>
        <v>0.2</v>
      </c>
      <c r="D55" s="110"/>
      <c r="E55" s="110"/>
      <c r="F55" s="86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</row>
    <row r="56">
      <c r="A56" s="196" t="s">
        <v>495</v>
      </c>
      <c r="B56" s="196">
        <v>21.0</v>
      </c>
      <c r="C56" s="199">
        <f t="shared" si="25"/>
        <v>0.13125</v>
      </c>
      <c r="D56" s="85"/>
      <c r="E56" s="85"/>
      <c r="F56" s="86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</row>
    <row r="57">
      <c r="A57" s="196" t="s">
        <v>498</v>
      </c>
      <c r="B57" s="196">
        <v>23.0</v>
      </c>
      <c r="C57" s="199">
        <f t="shared" si="25"/>
        <v>0.14375</v>
      </c>
      <c r="D57" s="85"/>
      <c r="E57" s="85"/>
      <c r="F57" s="86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</row>
    <row r="58">
      <c r="A58" s="207" t="s">
        <v>501</v>
      </c>
      <c r="B58" s="207">
        <v>76.0</v>
      </c>
      <c r="C58" s="209">
        <f t="shared" si="25"/>
        <v>0.475</v>
      </c>
      <c r="D58" s="110"/>
      <c r="E58" s="110"/>
      <c r="F58" s="86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</row>
    <row r="59">
      <c r="A59" s="196" t="s">
        <v>504</v>
      </c>
      <c r="B59" s="196">
        <v>21.0</v>
      </c>
      <c r="C59" s="199">
        <f t="shared" si="25"/>
        <v>0.13125</v>
      </c>
      <c r="D59" s="85"/>
      <c r="E59" s="85"/>
      <c r="F59" s="86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</row>
    <row r="60">
      <c r="A60" s="196" t="s">
        <v>507</v>
      </c>
      <c r="B60" s="196">
        <v>13.0</v>
      </c>
      <c r="C60" s="199">
        <f t="shared" si="25"/>
        <v>0.08125</v>
      </c>
      <c r="D60" s="85"/>
      <c r="E60" s="85"/>
      <c r="F60" s="86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</row>
    <row r="61">
      <c r="A61" s="202" t="s">
        <v>510</v>
      </c>
      <c r="B61" s="202">
        <v>110.0</v>
      </c>
      <c r="C61" s="204">
        <f t="shared" si="25"/>
        <v>0.6875</v>
      </c>
      <c r="D61" s="110"/>
      <c r="E61" s="110"/>
      <c r="F61" s="86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</row>
    <row r="62">
      <c r="A62" s="196" t="s">
        <v>513</v>
      </c>
      <c r="B62" s="196">
        <v>11.0</v>
      </c>
      <c r="C62" s="199">
        <f t="shared" si="25"/>
        <v>0.06875</v>
      </c>
      <c r="D62" s="85"/>
      <c r="E62" s="85"/>
      <c r="F62" s="86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</row>
    <row r="63">
      <c r="A63" s="196" t="s">
        <v>516</v>
      </c>
      <c r="B63" s="196">
        <v>12.0</v>
      </c>
      <c r="C63" s="199">
        <f t="shared" si="25"/>
        <v>0.075</v>
      </c>
      <c r="D63" s="85"/>
      <c r="E63" s="85"/>
      <c r="F63" s="86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</row>
    <row r="64">
      <c r="A64" s="202" t="s">
        <v>517</v>
      </c>
      <c r="B64" s="202">
        <v>133.0</v>
      </c>
      <c r="C64" s="204">
        <f t="shared" si="25"/>
        <v>0.83125</v>
      </c>
      <c r="D64" s="110"/>
      <c r="E64" s="110"/>
      <c r="F64" s="86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</row>
    <row r="65">
      <c r="A65" s="196" t="s">
        <v>520</v>
      </c>
      <c r="B65" s="196">
        <v>10.0</v>
      </c>
      <c r="C65" s="199">
        <f t="shared" si="25"/>
        <v>0.0625</v>
      </c>
      <c r="D65" s="85"/>
      <c r="E65" s="85"/>
      <c r="F65" s="86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</row>
    <row r="66">
      <c r="A66" s="196" t="s">
        <v>524</v>
      </c>
      <c r="B66" s="196">
        <v>10.0</v>
      </c>
      <c r="C66" s="199">
        <f t="shared" si="25"/>
        <v>0.0625</v>
      </c>
      <c r="D66" s="85"/>
      <c r="E66" s="85"/>
      <c r="F66" s="86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</row>
    <row r="67">
      <c r="A67" s="202" t="s">
        <v>527</v>
      </c>
      <c r="B67" s="202">
        <v>153.0</v>
      </c>
      <c r="C67" s="204">
        <f t="shared" si="25"/>
        <v>0.95625</v>
      </c>
      <c r="D67" s="110"/>
      <c r="E67" s="110"/>
      <c r="F67" s="86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</row>
    <row r="68">
      <c r="A68" s="196" t="s">
        <v>529</v>
      </c>
      <c r="B68" s="196">
        <v>5.0</v>
      </c>
      <c r="C68" s="199">
        <f t="shared" si="25"/>
        <v>0.03125</v>
      </c>
      <c r="D68" s="85"/>
      <c r="E68" s="85"/>
      <c r="F68" s="86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</row>
    <row r="69">
      <c r="A69" s="196" t="s">
        <v>532</v>
      </c>
      <c r="B69" s="196">
        <v>2.0</v>
      </c>
      <c r="C69" s="199">
        <f t="shared" si="25"/>
        <v>0.0125</v>
      </c>
      <c r="D69" s="85"/>
      <c r="E69" s="85"/>
      <c r="F69" s="86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</row>
    <row r="70">
      <c r="F70" s="9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</row>
    <row r="71">
      <c r="A71" s="186" t="s">
        <v>536</v>
      </c>
      <c r="B71" s="4"/>
      <c r="C71" s="4"/>
      <c r="D71" s="4"/>
      <c r="E71" s="4"/>
      <c r="F71" s="5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</row>
    <row r="72">
      <c r="A72" s="44"/>
      <c r="B72" s="44" t="s">
        <v>57</v>
      </c>
      <c r="C72" s="47" t="s">
        <v>75</v>
      </c>
      <c r="D72" s="44" t="s">
        <v>64</v>
      </c>
      <c r="E72" s="47" t="s">
        <v>67</v>
      </c>
      <c r="F72" s="52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</row>
    <row r="73">
      <c r="A73" s="213" t="s">
        <v>466</v>
      </c>
      <c r="B73" s="213">
        <v>4.0</v>
      </c>
      <c r="C73" s="214">
        <f t="shared" ref="C73:C92" si="26">(B73/76)</f>
        <v>0.05263157895</v>
      </c>
      <c r="D73" s="85"/>
      <c r="E73" s="85"/>
      <c r="F73" s="86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</row>
    <row r="74">
      <c r="A74" s="213" t="s">
        <v>476</v>
      </c>
      <c r="B74" s="213">
        <v>7.0</v>
      </c>
      <c r="C74" s="214">
        <f t="shared" si="26"/>
        <v>0.09210526316</v>
      </c>
      <c r="D74" s="85"/>
      <c r="E74" s="85"/>
      <c r="F74" s="86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</row>
    <row r="75">
      <c r="A75" s="215" t="s">
        <v>482</v>
      </c>
      <c r="B75" s="215">
        <v>11.0</v>
      </c>
      <c r="C75" s="216">
        <f t="shared" si="26"/>
        <v>0.1447368421</v>
      </c>
      <c r="D75" s="110"/>
      <c r="E75" s="110"/>
      <c r="F75" s="86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</row>
    <row r="76">
      <c r="A76" s="213" t="s">
        <v>486</v>
      </c>
      <c r="B76" s="213">
        <v>8.0</v>
      </c>
      <c r="C76" s="214">
        <f t="shared" si="26"/>
        <v>0.1052631579</v>
      </c>
      <c r="D76" s="85"/>
      <c r="E76" s="85"/>
      <c r="F76" s="86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</row>
    <row r="77">
      <c r="A77" s="213" t="s">
        <v>490</v>
      </c>
      <c r="B77" s="213">
        <v>11.0</v>
      </c>
      <c r="C77" s="214">
        <f t="shared" si="26"/>
        <v>0.1447368421</v>
      </c>
      <c r="D77" s="85"/>
      <c r="E77" s="85"/>
      <c r="F77" s="86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</row>
    <row r="78">
      <c r="A78" s="215" t="s">
        <v>493</v>
      </c>
      <c r="B78" s="215">
        <v>30.0</v>
      </c>
      <c r="C78" s="216">
        <f t="shared" si="26"/>
        <v>0.3947368421</v>
      </c>
      <c r="D78" s="110"/>
      <c r="E78" s="110"/>
      <c r="F78" s="86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</row>
    <row r="79">
      <c r="A79" s="213" t="s">
        <v>495</v>
      </c>
      <c r="B79" s="213">
        <v>6.0</v>
      </c>
      <c r="C79" s="214">
        <f t="shared" si="26"/>
        <v>0.07894736842</v>
      </c>
      <c r="D79" s="85"/>
      <c r="E79" s="85"/>
      <c r="F79" s="86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</row>
    <row r="80">
      <c r="A80" s="213" t="s">
        <v>498</v>
      </c>
      <c r="B80" s="213">
        <v>2.0</v>
      </c>
      <c r="C80" s="214">
        <f t="shared" si="26"/>
        <v>0.02631578947</v>
      </c>
      <c r="D80" s="85"/>
      <c r="E80" s="85"/>
      <c r="F80" s="86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</row>
    <row r="81">
      <c r="A81" s="219" t="s">
        <v>501</v>
      </c>
      <c r="B81" s="219">
        <v>38.0</v>
      </c>
      <c r="C81" s="220">
        <f t="shared" si="26"/>
        <v>0.5</v>
      </c>
      <c r="D81" s="110"/>
      <c r="E81" s="110"/>
      <c r="F81" s="86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</row>
    <row r="82">
      <c r="A82" s="213" t="s">
        <v>504</v>
      </c>
      <c r="B82" s="213">
        <v>13.0</v>
      </c>
      <c r="C82" s="214">
        <f t="shared" si="26"/>
        <v>0.1710526316</v>
      </c>
      <c r="D82" s="85"/>
      <c r="E82" s="85"/>
      <c r="F82" s="86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</row>
    <row r="83">
      <c r="A83" s="213" t="s">
        <v>507</v>
      </c>
      <c r="B83" s="213">
        <v>3.0</v>
      </c>
      <c r="C83" s="214">
        <f t="shared" si="26"/>
        <v>0.03947368421</v>
      </c>
      <c r="D83" s="85"/>
      <c r="E83" s="85"/>
      <c r="F83" s="86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</row>
    <row r="84">
      <c r="A84" s="215" t="s">
        <v>510</v>
      </c>
      <c r="B84" s="215">
        <v>54.0</v>
      </c>
      <c r="C84" s="216">
        <f t="shared" si="26"/>
        <v>0.7105263158</v>
      </c>
      <c r="D84" s="110"/>
      <c r="E84" s="110"/>
      <c r="F84" s="86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</row>
    <row r="85">
      <c r="A85" s="213" t="s">
        <v>513</v>
      </c>
      <c r="B85" s="213">
        <v>2.0</v>
      </c>
      <c r="C85" s="214">
        <f t="shared" si="26"/>
        <v>0.02631578947</v>
      </c>
      <c r="D85" s="85"/>
      <c r="E85" s="85"/>
      <c r="F85" s="86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</row>
    <row r="86">
      <c r="A86" s="213" t="s">
        <v>516</v>
      </c>
      <c r="B86" s="213">
        <v>5.0</v>
      </c>
      <c r="C86" s="214">
        <f t="shared" si="26"/>
        <v>0.06578947368</v>
      </c>
      <c r="D86" s="85"/>
      <c r="E86" s="85"/>
      <c r="F86" s="86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</row>
    <row r="87">
      <c r="A87" s="215" t="s">
        <v>517</v>
      </c>
      <c r="B87" s="215">
        <v>61.0</v>
      </c>
      <c r="C87" s="216">
        <f t="shared" si="26"/>
        <v>0.8026315789</v>
      </c>
      <c r="D87" s="110"/>
      <c r="E87" s="110"/>
      <c r="F87" s="86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</row>
    <row r="88">
      <c r="A88" s="213" t="s">
        <v>520</v>
      </c>
      <c r="B88" s="213">
        <v>4.0</v>
      </c>
      <c r="C88" s="214">
        <f t="shared" si="26"/>
        <v>0.05263157895</v>
      </c>
      <c r="D88" s="85"/>
      <c r="E88" s="85"/>
      <c r="F88" s="86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</row>
    <row r="89">
      <c r="A89" s="213" t="s">
        <v>524</v>
      </c>
      <c r="B89" s="213">
        <v>9.0</v>
      </c>
      <c r="C89" s="214">
        <f t="shared" si="26"/>
        <v>0.1184210526</v>
      </c>
      <c r="D89" s="85"/>
      <c r="E89" s="85"/>
      <c r="F89" s="86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</row>
    <row r="90">
      <c r="A90" s="215" t="s">
        <v>527</v>
      </c>
      <c r="B90" s="215">
        <v>74.0</v>
      </c>
      <c r="C90" s="216">
        <f t="shared" si="26"/>
        <v>0.9736842105</v>
      </c>
      <c r="D90" s="110"/>
      <c r="E90" s="110"/>
      <c r="F90" s="86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</row>
    <row r="91">
      <c r="A91" s="213" t="s">
        <v>529</v>
      </c>
      <c r="B91" s="213">
        <v>1.0</v>
      </c>
      <c r="C91" s="214">
        <f t="shared" si="26"/>
        <v>0.01315789474</v>
      </c>
      <c r="D91" s="85"/>
      <c r="E91" s="85"/>
      <c r="F91" s="86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</row>
    <row r="92">
      <c r="A92" s="213" t="s">
        <v>532</v>
      </c>
      <c r="B92" s="213">
        <v>1.0</v>
      </c>
      <c r="C92" s="214">
        <f t="shared" si="26"/>
        <v>0.01315789474</v>
      </c>
      <c r="D92" s="85"/>
      <c r="E92" s="85"/>
      <c r="F92" s="221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</row>
    <row r="93">
      <c r="F93" s="203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</row>
    <row r="94">
      <c r="A94" s="222" t="s">
        <v>537</v>
      </c>
      <c r="B94" s="76"/>
      <c r="C94" s="76"/>
      <c r="D94" s="76"/>
      <c r="E94" s="76"/>
      <c r="F94" s="223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</row>
    <row r="95">
      <c r="A95" s="189"/>
      <c r="B95" s="189" t="s">
        <v>57</v>
      </c>
      <c r="C95" s="47" t="s">
        <v>75</v>
      </c>
      <c r="D95" s="189" t="s">
        <v>64</v>
      </c>
      <c r="E95" s="193" t="s">
        <v>67</v>
      </c>
      <c r="F95" s="195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</row>
    <row r="96">
      <c r="A96" s="224" t="s">
        <v>466</v>
      </c>
      <c r="B96" s="224">
        <v>6.0</v>
      </c>
      <c r="C96" s="225">
        <f t="shared" ref="C96:C115" si="27">(B96/81)</f>
        <v>0.07407407407</v>
      </c>
      <c r="D96" s="85"/>
      <c r="E96" s="85"/>
      <c r="F96" s="86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</row>
    <row r="97">
      <c r="A97" s="224" t="s">
        <v>476</v>
      </c>
      <c r="B97" s="224">
        <v>14.0</v>
      </c>
      <c r="C97" s="225">
        <f t="shared" si="27"/>
        <v>0.1728395062</v>
      </c>
      <c r="D97" s="85"/>
      <c r="E97" s="85"/>
      <c r="F97" s="86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</row>
    <row r="98">
      <c r="A98" s="226" t="s">
        <v>482</v>
      </c>
      <c r="B98" s="226">
        <v>20.0</v>
      </c>
      <c r="C98" s="227">
        <f t="shared" si="27"/>
        <v>0.2469135802</v>
      </c>
      <c r="D98" s="110"/>
      <c r="E98" s="110"/>
      <c r="F98" s="86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</row>
    <row r="99">
      <c r="A99" s="224" t="s">
        <v>486</v>
      </c>
      <c r="B99" s="224">
        <v>6.0</v>
      </c>
      <c r="C99" s="225">
        <f t="shared" si="27"/>
        <v>0.07407407407</v>
      </c>
      <c r="D99" s="85"/>
      <c r="E99" s="85"/>
      <c r="F99" s="86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</row>
    <row r="100">
      <c r="A100" s="224" t="s">
        <v>490</v>
      </c>
      <c r="B100" s="224">
        <v>18.0</v>
      </c>
      <c r="C100" s="225">
        <f t="shared" si="27"/>
        <v>0.2222222222</v>
      </c>
      <c r="D100" s="85"/>
      <c r="E100" s="85"/>
      <c r="F100" s="86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</row>
    <row r="101">
      <c r="A101" s="226" t="s">
        <v>493</v>
      </c>
      <c r="B101" s="226">
        <v>44.0</v>
      </c>
      <c r="C101" s="227">
        <f t="shared" si="27"/>
        <v>0.5432098765</v>
      </c>
      <c r="D101" s="110"/>
      <c r="E101" s="110"/>
      <c r="F101" s="86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</row>
    <row r="102">
      <c r="A102" s="224" t="s">
        <v>495</v>
      </c>
      <c r="B102" s="224">
        <v>9.0</v>
      </c>
      <c r="C102" s="225">
        <f t="shared" si="27"/>
        <v>0.1111111111</v>
      </c>
      <c r="D102" s="85"/>
      <c r="E102" s="85"/>
      <c r="F102" s="86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</row>
    <row r="103">
      <c r="A103" s="224" t="s">
        <v>498</v>
      </c>
      <c r="B103" s="224">
        <v>8.0</v>
      </c>
      <c r="C103" s="225">
        <f t="shared" si="27"/>
        <v>0.0987654321</v>
      </c>
      <c r="D103" s="85"/>
      <c r="E103" s="85"/>
      <c r="F103" s="86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</row>
    <row r="104">
      <c r="A104" s="228" t="s">
        <v>501</v>
      </c>
      <c r="B104" s="228">
        <v>61.0</v>
      </c>
      <c r="C104" s="229">
        <f t="shared" si="27"/>
        <v>0.7530864198</v>
      </c>
      <c r="D104" s="110"/>
      <c r="E104" s="110"/>
      <c r="F104" s="86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</row>
    <row r="105">
      <c r="A105" s="224" t="s">
        <v>504</v>
      </c>
      <c r="B105" s="224">
        <v>7.0</v>
      </c>
      <c r="C105" s="225">
        <f t="shared" si="27"/>
        <v>0.08641975309</v>
      </c>
      <c r="D105" s="85"/>
      <c r="E105" s="85"/>
      <c r="F105" s="86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</row>
    <row r="106">
      <c r="A106" s="224" t="s">
        <v>507</v>
      </c>
      <c r="B106" s="224">
        <v>2.0</v>
      </c>
      <c r="C106" s="225">
        <f t="shared" si="27"/>
        <v>0.02469135802</v>
      </c>
      <c r="D106" s="85"/>
      <c r="E106" s="85"/>
      <c r="F106" s="86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</row>
    <row r="107">
      <c r="A107" s="226" t="s">
        <v>510</v>
      </c>
      <c r="B107" s="226">
        <v>70.0</v>
      </c>
      <c r="C107" s="227">
        <f t="shared" si="27"/>
        <v>0.8641975309</v>
      </c>
      <c r="D107" s="110"/>
      <c r="E107" s="110"/>
      <c r="F107" s="86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</row>
    <row r="108">
      <c r="A108" s="224" t="s">
        <v>513</v>
      </c>
      <c r="B108" s="224">
        <v>3.0</v>
      </c>
      <c r="C108" s="225">
        <f t="shared" si="27"/>
        <v>0.03703703704</v>
      </c>
      <c r="D108" s="85"/>
      <c r="E108" s="85"/>
      <c r="F108" s="86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</row>
    <row r="109">
      <c r="A109" s="224" t="s">
        <v>516</v>
      </c>
      <c r="B109" s="224">
        <v>6.0</v>
      </c>
      <c r="C109" s="225">
        <f t="shared" si="27"/>
        <v>0.07407407407</v>
      </c>
      <c r="D109" s="85"/>
      <c r="E109" s="85"/>
      <c r="F109" s="86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</row>
    <row r="110">
      <c r="A110" s="226" t="s">
        <v>517</v>
      </c>
      <c r="B110" s="226">
        <v>79.0</v>
      </c>
      <c r="C110" s="227">
        <f t="shared" si="27"/>
        <v>0.975308642</v>
      </c>
      <c r="D110" s="110"/>
      <c r="E110" s="110"/>
      <c r="F110" s="86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</row>
    <row r="111">
      <c r="A111" s="224" t="s">
        <v>520</v>
      </c>
      <c r="B111" s="224">
        <v>2.0</v>
      </c>
      <c r="C111" s="225">
        <f t="shared" si="27"/>
        <v>0.02469135802</v>
      </c>
      <c r="D111" s="85"/>
      <c r="E111" s="85"/>
      <c r="F111" s="86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</row>
    <row r="112">
      <c r="A112" s="224" t="s">
        <v>524</v>
      </c>
      <c r="B112" s="224">
        <v>0.0</v>
      </c>
      <c r="C112" s="225">
        <f t="shared" si="27"/>
        <v>0</v>
      </c>
      <c r="D112" s="85"/>
      <c r="E112" s="85"/>
      <c r="F112" s="86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</row>
    <row r="113">
      <c r="A113" s="226" t="s">
        <v>527</v>
      </c>
      <c r="B113" s="226">
        <v>81.0</v>
      </c>
      <c r="C113" s="227">
        <f t="shared" si="27"/>
        <v>1</v>
      </c>
      <c r="D113" s="110"/>
      <c r="E113" s="110"/>
      <c r="F113" s="86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</row>
    <row r="114">
      <c r="A114" s="224" t="s">
        <v>529</v>
      </c>
      <c r="B114" s="224">
        <v>0.0</v>
      </c>
      <c r="C114" s="225">
        <f t="shared" si="27"/>
        <v>0</v>
      </c>
      <c r="D114" s="85"/>
      <c r="E114" s="85"/>
      <c r="F114" s="86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</row>
    <row r="115">
      <c r="A115" s="224" t="s">
        <v>532</v>
      </c>
      <c r="B115" s="224">
        <v>0.0</v>
      </c>
      <c r="C115" s="225">
        <f t="shared" si="27"/>
        <v>0</v>
      </c>
      <c r="D115" s="85"/>
      <c r="E115" s="85"/>
      <c r="F115" s="86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</row>
    <row r="116">
      <c r="F116" s="9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</row>
    <row r="117">
      <c r="A117" s="186" t="s">
        <v>538</v>
      </c>
      <c r="B117" s="4"/>
      <c r="C117" s="4"/>
      <c r="D117" s="4"/>
      <c r="E117" s="4"/>
      <c r="F117" s="5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</row>
    <row r="118">
      <c r="A118" s="44"/>
      <c r="B118" s="44" t="s">
        <v>57</v>
      </c>
      <c r="C118" s="47" t="s">
        <v>75</v>
      </c>
      <c r="D118" s="44" t="s">
        <v>64</v>
      </c>
      <c r="E118" s="47" t="s">
        <v>67</v>
      </c>
      <c r="F118" s="52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</row>
    <row r="119">
      <c r="A119" s="239" t="s">
        <v>466</v>
      </c>
      <c r="B119" s="241">
        <v>6.0</v>
      </c>
      <c r="C119" s="243">
        <f t="shared" ref="C119:C138" si="28">(B119/160)</f>
        <v>0.0375</v>
      </c>
      <c r="D119" s="85"/>
      <c r="E119" s="85"/>
      <c r="F119" s="86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</row>
    <row r="120">
      <c r="A120" s="239" t="s">
        <v>476</v>
      </c>
      <c r="B120" s="241">
        <v>7.0</v>
      </c>
      <c r="C120" s="243">
        <f t="shared" si="28"/>
        <v>0.04375</v>
      </c>
      <c r="D120" s="85"/>
      <c r="E120" s="85"/>
      <c r="F120" s="86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</row>
    <row r="121">
      <c r="A121" s="245" t="s">
        <v>482</v>
      </c>
      <c r="B121" s="246">
        <v>13.0</v>
      </c>
      <c r="C121" s="247">
        <f t="shared" si="28"/>
        <v>0.08125</v>
      </c>
      <c r="D121" s="110"/>
      <c r="E121" s="110"/>
      <c r="F121" s="86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</row>
    <row r="122">
      <c r="A122" s="239" t="s">
        <v>486</v>
      </c>
      <c r="B122" s="241">
        <v>8.0</v>
      </c>
      <c r="C122" s="243">
        <f t="shared" si="28"/>
        <v>0.05</v>
      </c>
      <c r="D122" s="85"/>
      <c r="E122" s="85"/>
      <c r="F122" s="86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</row>
    <row r="123">
      <c r="A123" s="239" t="s">
        <v>490</v>
      </c>
      <c r="B123" s="241">
        <v>17.0</v>
      </c>
      <c r="C123" s="243">
        <f t="shared" si="28"/>
        <v>0.10625</v>
      </c>
      <c r="D123" s="85"/>
      <c r="E123" s="85"/>
      <c r="F123" s="86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</row>
    <row r="124">
      <c r="A124" s="245" t="s">
        <v>493</v>
      </c>
      <c r="B124" s="246">
        <v>38.0</v>
      </c>
      <c r="C124" s="247">
        <f t="shared" si="28"/>
        <v>0.2375</v>
      </c>
      <c r="D124" s="110"/>
      <c r="E124" s="110"/>
      <c r="F124" s="86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</row>
    <row r="125">
      <c r="A125" s="239" t="s">
        <v>495</v>
      </c>
      <c r="B125" s="241">
        <v>16.0</v>
      </c>
      <c r="C125" s="243">
        <f t="shared" si="28"/>
        <v>0.1</v>
      </c>
      <c r="D125" s="85"/>
      <c r="E125" s="85"/>
      <c r="F125" s="86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</row>
    <row r="126">
      <c r="A126" s="239" t="s">
        <v>498</v>
      </c>
      <c r="B126" s="241">
        <v>9.0</v>
      </c>
      <c r="C126" s="243">
        <f t="shared" si="28"/>
        <v>0.05625</v>
      </c>
      <c r="D126" s="85"/>
      <c r="E126" s="85"/>
      <c r="F126" s="86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</row>
    <row r="127">
      <c r="A127" s="248" t="s">
        <v>501</v>
      </c>
      <c r="B127" s="249">
        <v>63.0</v>
      </c>
      <c r="C127" s="251">
        <f t="shared" si="28"/>
        <v>0.39375</v>
      </c>
      <c r="D127" s="110"/>
      <c r="E127" s="110"/>
      <c r="F127" s="86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</row>
    <row r="128">
      <c r="A128" s="239" t="s">
        <v>504</v>
      </c>
      <c r="B128" s="241">
        <v>11.0</v>
      </c>
      <c r="C128" s="243">
        <f t="shared" si="28"/>
        <v>0.06875</v>
      </c>
      <c r="D128" s="85"/>
      <c r="E128" s="85"/>
      <c r="F128" s="86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</row>
    <row r="129">
      <c r="A129" s="239" t="s">
        <v>507</v>
      </c>
      <c r="B129" s="241">
        <v>9.0</v>
      </c>
      <c r="C129" s="243">
        <f t="shared" si="28"/>
        <v>0.05625</v>
      </c>
      <c r="D129" s="85"/>
      <c r="E129" s="85"/>
      <c r="F129" s="86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</row>
    <row r="130">
      <c r="A130" s="245" t="s">
        <v>510</v>
      </c>
      <c r="B130" s="246">
        <v>83.0</v>
      </c>
      <c r="C130" s="247">
        <f t="shared" si="28"/>
        <v>0.51875</v>
      </c>
      <c r="D130" s="110"/>
      <c r="E130" s="110"/>
      <c r="F130" s="86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</row>
    <row r="131">
      <c r="A131" s="239" t="s">
        <v>513</v>
      </c>
      <c r="B131" s="241">
        <v>9.0</v>
      </c>
      <c r="C131" s="243">
        <f t="shared" si="28"/>
        <v>0.05625</v>
      </c>
      <c r="D131" s="85"/>
      <c r="E131" s="85"/>
      <c r="F131" s="86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</row>
    <row r="132">
      <c r="A132" s="239" t="s">
        <v>516</v>
      </c>
      <c r="B132" s="241">
        <v>14.0</v>
      </c>
      <c r="C132" s="243">
        <f t="shared" si="28"/>
        <v>0.0875</v>
      </c>
      <c r="D132" s="85"/>
      <c r="E132" s="85"/>
      <c r="F132" s="86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</row>
    <row r="133">
      <c r="A133" s="245" t="s">
        <v>517</v>
      </c>
      <c r="B133" s="246">
        <v>106.0</v>
      </c>
      <c r="C133" s="247">
        <f t="shared" si="28"/>
        <v>0.6625</v>
      </c>
      <c r="D133" s="110"/>
      <c r="E133" s="110"/>
      <c r="F133" s="86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</row>
    <row r="134">
      <c r="A134" s="239" t="s">
        <v>520</v>
      </c>
      <c r="B134" s="241">
        <v>16.0</v>
      </c>
      <c r="C134" s="243">
        <f t="shared" si="28"/>
        <v>0.1</v>
      </c>
      <c r="D134" s="85"/>
      <c r="E134" s="85"/>
      <c r="F134" s="86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</row>
    <row r="135">
      <c r="A135" s="239" t="s">
        <v>524</v>
      </c>
      <c r="B135" s="241">
        <v>9.0</v>
      </c>
      <c r="C135" s="243">
        <f t="shared" si="28"/>
        <v>0.05625</v>
      </c>
      <c r="D135" s="85"/>
      <c r="E135" s="85"/>
      <c r="F135" s="86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</row>
    <row r="136">
      <c r="A136" s="245" t="s">
        <v>527</v>
      </c>
      <c r="B136" s="246">
        <v>131.0</v>
      </c>
      <c r="C136" s="247">
        <f t="shared" si="28"/>
        <v>0.81875</v>
      </c>
      <c r="D136" s="110"/>
      <c r="E136" s="110"/>
      <c r="F136" s="86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</row>
    <row r="137">
      <c r="A137" s="239" t="s">
        <v>529</v>
      </c>
      <c r="B137" s="241">
        <v>15.0</v>
      </c>
      <c r="C137" s="243">
        <f t="shared" si="28"/>
        <v>0.09375</v>
      </c>
      <c r="D137" s="85"/>
      <c r="E137" s="85"/>
      <c r="F137" s="86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</row>
    <row r="138">
      <c r="A138" s="239" t="s">
        <v>532</v>
      </c>
      <c r="B138" s="241">
        <v>18.0</v>
      </c>
      <c r="C138" s="243">
        <f t="shared" si="28"/>
        <v>0.1125</v>
      </c>
      <c r="D138" s="85"/>
      <c r="E138" s="85"/>
      <c r="F138" s="86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</row>
    <row r="139">
      <c r="F139" s="9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</row>
    <row r="140">
      <c r="A140" s="186" t="s">
        <v>539</v>
      </c>
      <c r="B140" s="4"/>
      <c r="C140" s="4"/>
      <c r="D140" s="4"/>
      <c r="E140" s="4"/>
      <c r="F140" s="5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</row>
    <row r="141">
      <c r="A141" s="44"/>
      <c r="B141" s="44" t="s">
        <v>57</v>
      </c>
      <c r="C141" s="47" t="s">
        <v>75</v>
      </c>
      <c r="D141" s="44" t="s">
        <v>64</v>
      </c>
      <c r="E141" s="47" t="s">
        <v>67</v>
      </c>
      <c r="F141" s="52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</row>
    <row r="142">
      <c r="A142" s="224" t="s">
        <v>466</v>
      </c>
      <c r="B142" s="224">
        <v>5.0</v>
      </c>
      <c r="C142" s="243">
        <f t="shared" ref="C142:C161" si="29">(B142/160)</f>
        <v>0.03125</v>
      </c>
      <c r="D142" s="85"/>
      <c r="E142" s="85"/>
      <c r="F142" s="86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</row>
    <row r="143">
      <c r="A143" s="224" t="s">
        <v>476</v>
      </c>
      <c r="B143" s="224">
        <v>21.0</v>
      </c>
      <c r="C143" s="243">
        <f t="shared" si="29"/>
        <v>0.13125</v>
      </c>
      <c r="D143" s="85"/>
      <c r="E143" s="85"/>
      <c r="F143" s="86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</row>
    <row r="144">
      <c r="A144" s="226" t="s">
        <v>482</v>
      </c>
      <c r="B144" s="226">
        <v>26.0</v>
      </c>
      <c r="C144" s="243">
        <f t="shared" si="29"/>
        <v>0.1625</v>
      </c>
      <c r="D144" s="110"/>
      <c r="E144" s="110"/>
      <c r="F144" s="86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</row>
    <row r="145">
      <c r="A145" s="224" t="s">
        <v>486</v>
      </c>
      <c r="B145" s="224">
        <v>33.0</v>
      </c>
      <c r="C145" s="243">
        <f t="shared" si="29"/>
        <v>0.20625</v>
      </c>
      <c r="D145" s="85"/>
      <c r="E145" s="85"/>
      <c r="F145" s="86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</row>
    <row r="146">
      <c r="A146" s="224" t="s">
        <v>490</v>
      </c>
      <c r="B146" s="224">
        <v>20.0</v>
      </c>
      <c r="C146" s="243">
        <f t="shared" si="29"/>
        <v>0.125</v>
      </c>
      <c r="D146" s="85"/>
      <c r="E146" s="85"/>
      <c r="F146" s="86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</row>
    <row r="147">
      <c r="A147" s="226" t="s">
        <v>493</v>
      </c>
      <c r="B147" s="226">
        <v>79.0</v>
      </c>
      <c r="C147" s="243">
        <f t="shared" si="29"/>
        <v>0.49375</v>
      </c>
      <c r="D147" s="110"/>
      <c r="E147" s="110"/>
      <c r="F147" s="86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</row>
    <row r="148">
      <c r="A148" s="224" t="s">
        <v>495</v>
      </c>
      <c r="B148" s="224">
        <v>26.0</v>
      </c>
      <c r="C148" s="243">
        <f t="shared" si="29"/>
        <v>0.1625</v>
      </c>
      <c r="D148" s="85"/>
      <c r="E148" s="85"/>
      <c r="F148" s="86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</row>
    <row r="149">
      <c r="A149" s="224" t="s">
        <v>498</v>
      </c>
      <c r="B149" s="224">
        <v>12.0</v>
      </c>
      <c r="C149" s="243">
        <f t="shared" si="29"/>
        <v>0.075</v>
      </c>
      <c r="D149" s="85"/>
      <c r="E149" s="85"/>
      <c r="F149" s="86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</row>
    <row r="150">
      <c r="A150" s="228" t="s">
        <v>501</v>
      </c>
      <c r="B150" s="228">
        <v>117.0</v>
      </c>
      <c r="C150" s="251">
        <f t="shared" si="29"/>
        <v>0.73125</v>
      </c>
      <c r="D150" s="110"/>
      <c r="E150" s="110"/>
      <c r="F150" s="86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</row>
    <row r="151">
      <c r="A151" s="224" t="s">
        <v>504</v>
      </c>
      <c r="B151" s="224">
        <v>12.0</v>
      </c>
      <c r="C151" s="243">
        <f t="shared" si="29"/>
        <v>0.075</v>
      </c>
      <c r="D151" s="85"/>
      <c r="E151" s="85"/>
      <c r="F151" s="86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</row>
    <row r="152">
      <c r="A152" s="224" t="s">
        <v>507</v>
      </c>
      <c r="B152" s="224">
        <v>3.0</v>
      </c>
      <c r="C152" s="243">
        <f t="shared" si="29"/>
        <v>0.01875</v>
      </c>
      <c r="D152" s="85"/>
      <c r="E152" s="85"/>
      <c r="F152" s="86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</row>
    <row r="153">
      <c r="A153" s="226" t="s">
        <v>510</v>
      </c>
      <c r="B153" s="226">
        <v>132.0</v>
      </c>
      <c r="C153" s="243">
        <f t="shared" si="29"/>
        <v>0.825</v>
      </c>
      <c r="D153" s="110"/>
      <c r="E153" s="110"/>
      <c r="F153" s="86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</row>
    <row r="154">
      <c r="A154" s="224" t="s">
        <v>513</v>
      </c>
      <c r="B154" s="224">
        <v>11.0</v>
      </c>
      <c r="C154" s="243">
        <f t="shared" si="29"/>
        <v>0.06875</v>
      </c>
      <c r="D154" s="85"/>
      <c r="E154" s="85"/>
      <c r="F154" s="86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</row>
    <row r="155">
      <c r="A155" s="224" t="s">
        <v>516</v>
      </c>
      <c r="B155" s="224">
        <v>6.0</v>
      </c>
      <c r="C155" s="243">
        <f t="shared" si="29"/>
        <v>0.0375</v>
      </c>
      <c r="D155" s="85"/>
      <c r="E155" s="85"/>
      <c r="F155" s="86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</row>
    <row r="156">
      <c r="A156" s="226" t="s">
        <v>517</v>
      </c>
      <c r="B156" s="226">
        <v>149.0</v>
      </c>
      <c r="C156" s="243">
        <f t="shared" si="29"/>
        <v>0.93125</v>
      </c>
      <c r="D156" s="110"/>
      <c r="E156" s="110"/>
      <c r="F156" s="86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</row>
    <row r="157">
      <c r="A157" s="224" t="s">
        <v>520</v>
      </c>
      <c r="B157" s="224">
        <v>3.0</v>
      </c>
      <c r="C157" s="243">
        <f t="shared" si="29"/>
        <v>0.01875</v>
      </c>
      <c r="D157" s="85"/>
      <c r="E157" s="85"/>
      <c r="F157" s="86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</row>
    <row r="158">
      <c r="A158" s="224" t="s">
        <v>524</v>
      </c>
      <c r="B158" s="224">
        <v>3.0</v>
      </c>
      <c r="C158" s="243">
        <f t="shared" si="29"/>
        <v>0.01875</v>
      </c>
      <c r="D158" s="85"/>
      <c r="E158" s="85"/>
      <c r="F158" s="86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</row>
    <row r="159">
      <c r="A159" s="226" t="s">
        <v>527</v>
      </c>
      <c r="B159" s="226">
        <v>155.0</v>
      </c>
      <c r="C159" s="243">
        <f t="shared" si="29"/>
        <v>0.96875</v>
      </c>
      <c r="D159" s="110"/>
      <c r="E159" s="110"/>
      <c r="F159" s="86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</row>
    <row r="160">
      <c r="A160" s="224" t="s">
        <v>529</v>
      </c>
      <c r="B160" s="224">
        <v>2.0</v>
      </c>
      <c r="C160" s="243">
        <f t="shared" si="29"/>
        <v>0.0125</v>
      </c>
      <c r="D160" s="85"/>
      <c r="E160" s="85"/>
      <c r="F160" s="86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</row>
    <row r="161">
      <c r="A161" s="224" t="s">
        <v>532</v>
      </c>
      <c r="B161" s="224">
        <v>3.0</v>
      </c>
      <c r="C161" s="243">
        <f t="shared" si="29"/>
        <v>0.01875</v>
      </c>
      <c r="D161" s="85"/>
      <c r="E161" s="85"/>
      <c r="F161" s="86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</row>
    <row r="162">
      <c r="F162" s="9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</row>
    <row r="163">
      <c r="A163" s="186" t="s">
        <v>540</v>
      </c>
      <c r="B163" s="4"/>
      <c r="C163" s="4"/>
      <c r="D163" s="4"/>
      <c r="E163" s="4"/>
      <c r="F163" s="5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</row>
    <row r="164">
      <c r="A164" s="44"/>
      <c r="B164" s="44" t="s">
        <v>57</v>
      </c>
      <c r="C164" s="47" t="s">
        <v>75</v>
      </c>
      <c r="D164" s="44" t="s">
        <v>64</v>
      </c>
      <c r="E164" s="47" t="s">
        <v>67</v>
      </c>
      <c r="F164" s="52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</row>
    <row r="165">
      <c r="A165" s="252" t="s">
        <v>466</v>
      </c>
      <c r="B165" s="253">
        <v>2.0</v>
      </c>
      <c r="C165" s="254">
        <f t="shared" ref="C165:C184" si="30">(B165/160)</f>
        <v>0.0125</v>
      </c>
      <c r="D165" s="85"/>
      <c r="E165" s="85"/>
      <c r="F165" s="86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</row>
    <row r="166">
      <c r="A166" s="252" t="s">
        <v>476</v>
      </c>
      <c r="B166" s="253">
        <v>13.0</v>
      </c>
      <c r="C166" s="254">
        <f t="shared" si="30"/>
        <v>0.08125</v>
      </c>
      <c r="D166" s="85"/>
      <c r="E166" s="85"/>
      <c r="F166" s="86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</row>
    <row r="167">
      <c r="A167" s="255" t="s">
        <v>482</v>
      </c>
      <c r="B167" s="256">
        <v>15.0</v>
      </c>
      <c r="C167" s="257">
        <f t="shared" si="30"/>
        <v>0.09375</v>
      </c>
      <c r="D167" s="110"/>
      <c r="E167" s="110"/>
      <c r="F167" s="86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</row>
    <row r="168">
      <c r="A168" s="252" t="s">
        <v>486</v>
      </c>
      <c r="B168" s="253">
        <v>14.0</v>
      </c>
      <c r="C168" s="254">
        <f t="shared" si="30"/>
        <v>0.0875</v>
      </c>
      <c r="D168" s="85"/>
      <c r="E168" s="85"/>
      <c r="F168" s="86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</row>
    <row r="169">
      <c r="A169" s="252" t="s">
        <v>490</v>
      </c>
      <c r="B169" s="253">
        <v>17.0</v>
      </c>
      <c r="C169" s="254">
        <f t="shared" si="30"/>
        <v>0.10625</v>
      </c>
      <c r="D169" s="85"/>
      <c r="E169" s="85"/>
      <c r="F169" s="86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</row>
    <row r="170">
      <c r="A170" s="255" t="s">
        <v>493</v>
      </c>
      <c r="B170" s="256">
        <v>46.0</v>
      </c>
      <c r="C170" s="257">
        <f t="shared" si="30"/>
        <v>0.2875</v>
      </c>
      <c r="D170" s="110"/>
      <c r="E170" s="110"/>
      <c r="F170" s="86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</row>
    <row r="171">
      <c r="A171" s="252" t="s">
        <v>495</v>
      </c>
      <c r="B171" s="253">
        <v>19.0</v>
      </c>
      <c r="C171" s="254">
        <f t="shared" si="30"/>
        <v>0.11875</v>
      </c>
      <c r="D171" s="85"/>
      <c r="E171" s="85"/>
      <c r="F171" s="86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</row>
    <row r="172">
      <c r="A172" s="252" t="s">
        <v>498</v>
      </c>
      <c r="B172" s="253">
        <v>17.0</v>
      </c>
      <c r="C172" s="254">
        <f t="shared" si="30"/>
        <v>0.10625</v>
      </c>
      <c r="D172" s="85"/>
      <c r="E172" s="85"/>
      <c r="F172" s="86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</row>
    <row r="173">
      <c r="A173" s="258" t="s">
        <v>501</v>
      </c>
      <c r="B173" s="259">
        <v>82.0</v>
      </c>
      <c r="C173" s="260">
        <f t="shared" si="30"/>
        <v>0.5125</v>
      </c>
      <c r="D173" s="110"/>
      <c r="E173" s="110"/>
      <c r="F173" s="86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</row>
    <row r="174">
      <c r="A174" s="252" t="s">
        <v>504</v>
      </c>
      <c r="B174" s="253">
        <v>16.0</v>
      </c>
      <c r="C174" s="254">
        <f t="shared" si="30"/>
        <v>0.1</v>
      </c>
      <c r="D174" s="85"/>
      <c r="E174" s="85"/>
      <c r="F174" s="86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</row>
    <row r="175">
      <c r="A175" s="252" t="s">
        <v>507</v>
      </c>
      <c r="B175" s="253">
        <v>14.0</v>
      </c>
      <c r="C175" s="254">
        <f t="shared" si="30"/>
        <v>0.0875</v>
      </c>
      <c r="D175" s="85"/>
      <c r="E175" s="85"/>
      <c r="F175" s="86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</row>
    <row r="176">
      <c r="A176" s="255" t="s">
        <v>510</v>
      </c>
      <c r="B176" s="256">
        <v>112.0</v>
      </c>
      <c r="C176" s="257">
        <f t="shared" si="30"/>
        <v>0.7</v>
      </c>
      <c r="D176" s="110"/>
      <c r="E176" s="110"/>
      <c r="F176" s="86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</row>
    <row r="177">
      <c r="A177" s="252" t="s">
        <v>513</v>
      </c>
      <c r="B177" s="253">
        <v>11.0</v>
      </c>
      <c r="C177" s="254">
        <f t="shared" si="30"/>
        <v>0.06875</v>
      </c>
      <c r="D177" s="85"/>
      <c r="E177" s="85"/>
      <c r="F177" s="86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</row>
    <row r="178">
      <c r="A178" s="252" t="s">
        <v>516</v>
      </c>
      <c r="B178" s="253">
        <v>9.0</v>
      </c>
      <c r="C178" s="254">
        <f t="shared" si="30"/>
        <v>0.05625</v>
      </c>
      <c r="D178" s="85"/>
      <c r="E178" s="85"/>
      <c r="F178" s="86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</row>
    <row r="179">
      <c r="A179" s="255" t="s">
        <v>517</v>
      </c>
      <c r="B179" s="256">
        <v>132.0</v>
      </c>
      <c r="C179" s="257">
        <f t="shared" si="30"/>
        <v>0.825</v>
      </c>
      <c r="D179" s="110"/>
      <c r="E179" s="110"/>
      <c r="F179" s="86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</row>
    <row r="180">
      <c r="A180" s="252" t="s">
        <v>520</v>
      </c>
      <c r="B180" s="253">
        <v>9.0</v>
      </c>
      <c r="C180" s="254">
        <f t="shared" si="30"/>
        <v>0.05625</v>
      </c>
      <c r="D180" s="85"/>
      <c r="E180" s="85"/>
      <c r="F180" s="86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</row>
    <row r="181">
      <c r="A181" s="252" t="s">
        <v>524</v>
      </c>
      <c r="B181" s="253">
        <v>6.0</v>
      </c>
      <c r="C181" s="254">
        <f t="shared" si="30"/>
        <v>0.0375</v>
      </c>
      <c r="D181" s="85"/>
      <c r="E181" s="85"/>
      <c r="F181" s="86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</row>
    <row r="182">
      <c r="A182" s="255" t="s">
        <v>527</v>
      </c>
      <c r="B182" s="256">
        <v>147.0</v>
      </c>
      <c r="C182" s="257">
        <f t="shared" si="30"/>
        <v>0.91875</v>
      </c>
      <c r="D182" s="110"/>
      <c r="E182" s="110"/>
      <c r="F182" s="86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</row>
    <row r="183">
      <c r="A183" s="252" t="s">
        <v>529</v>
      </c>
      <c r="B183" s="253">
        <v>8.0</v>
      </c>
      <c r="C183" s="254">
        <f t="shared" si="30"/>
        <v>0.05</v>
      </c>
      <c r="D183" s="85"/>
      <c r="E183" s="85"/>
      <c r="F183" s="86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</row>
    <row r="184">
      <c r="A184" s="252" t="s">
        <v>532</v>
      </c>
      <c r="B184" s="253">
        <v>5.0</v>
      </c>
      <c r="C184" s="254">
        <f t="shared" si="30"/>
        <v>0.03125</v>
      </c>
      <c r="D184" s="85"/>
      <c r="E184" s="85"/>
      <c r="F184" s="86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</row>
    <row r="185">
      <c r="F185" s="9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</row>
    <row r="186">
      <c r="A186" s="186" t="s">
        <v>541</v>
      </c>
      <c r="B186" s="4"/>
      <c r="C186" s="4"/>
      <c r="D186" s="4"/>
      <c r="E186" s="4"/>
      <c r="F186" s="5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</row>
    <row r="187">
      <c r="A187" s="44"/>
      <c r="B187" s="44" t="s">
        <v>57</v>
      </c>
      <c r="C187" s="47" t="s">
        <v>75</v>
      </c>
      <c r="D187" s="44" t="s">
        <v>64</v>
      </c>
      <c r="E187" s="47" t="s">
        <v>67</v>
      </c>
      <c r="F187" s="52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</row>
    <row r="188">
      <c r="A188" s="261" t="s">
        <v>466</v>
      </c>
      <c r="B188" s="213">
        <v>26.0</v>
      </c>
      <c r="C188" s="243">
        <f t="shared" ref="C188:C207" si="31">(B188/160)</f>
        <v>0.1625</v>
      </c>
      <c r="D188" s="85"/>
      <c r="E188" s="85"/>
      <c r="F188" s="86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</row>
    <row r="189">
      <c r="A189" s="261" t="s">
        <v>476</v>
      </c>
      <c r="B189" s="213">
        <v>33.0</v>
      </c>
      <c r="C189" s="243">
        <f t="shared" si="31"/>
        <v>0.20625</v>
      </c>
      <c r="D189" s="85"/>
      <c r="E189" s="85"/>
      <c r="F189" s="86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</row>
    <row r="190">
      <c r="A190" s="261" t="s">
        <v>482</v>
      </c>
      <c r="B190" s="213">
        <v>59.0</v>
      </c>
      <c r="C190" s="243">
        <f t="shared" si="31"/>
        <v>0.36875</v>
      </c>
      <c r="D190" s="110"/>
      <c r="E190" s="110"/>
      <c r="F190" s="86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</row>
    <row r="191">
      <c r="A191" s="261" t="s">
        <v>486</v>
      </c>
      <c r="B191" s="213">
        <v>32.0</v>
      </c>
      <c r="C191" s="243">
        <f t="shared" si="31"/>
        <v>0.2</v>
      </c>
      <c r="D191" s="85"/>
      <c r="E191" s="85"/>
      <c r="F191" s="86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</row>
    <row r="192">
      <c r="A192" s="261" t="s">
        <v>490</v>
      </c>
      <c r="B192" s="213">
        <v>23.0</v>
      </c>
      <c r="C192" s="243">
        <f t="shared" si="31"/>
        <v>0.14375</v>
      </c>
      <c r="D192" s="85"/>
      <c r="E192" s="85"/>
      <c r="F192" s="86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</row>
    <row r="193">
      <c r="A193" s="261" t="s">
        <v>493</v>
      </c>
      <c r="B193" s="213">
        <v>114.0</v>
      </c>
      <c r="C193" s="243">
        <f t="shared" si="31"/>
        <v>0.7125</v>
      </c>
      <c r="D193" s="110"/>
      <c r="E193" s="110"/>
      <c r="F193" s="86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</row>
    <row r="194">
      <c r="A194" s="261" t="s">
        <v>495</v>
      </c>
      <c r="B194" s="213">
        <v>17.0</v>
      </c>
      <c r="C194" s="243">
        <f t="shared" si="31"/>
        <v>0.10625</v>
      </c>
      <c r="D194" s="85"/>
      <c r="E194" s="85"/>
      <c r="F194" s="86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</row>
    <row r="195">
      <c r="A195" s="261" t="s">
        <v>498</v>
      </c>
      <c r="B195" s="213">
        <v>7.0</v>
      </c>
      <c r="C195" s="243">
        <f t="shared" si="31"/>
        <v>0.04375</v>
      </c>
      <c r="D195" s="85"/>
      <c r="E195" s="85"/>
      <c r="F195" s="86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</row>
    <row r="196">
      <c r="A196" s="262" t="s">
        <v>501</v>
      </c>
      <c r="B196" s="219">
        <v>138.0</v>
      </c>
      <c r="C196" s="251">
        <f t="shared" si="31"/>
        <v>0.8625</v>
      </c>
      <c r="D196" s="110"/>
      <c r="E196" s="110"/>
      <c r="F196" s="86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</row>
    <row r="197">
      <c r="A197" s="261" t="s">
        <v>504</v>
      </c>
      <c r="B197" s="213">
        <v>12.0</v>
      </c>
      <c r="C197" s="243">
        <f t="shared" si="31"/>
        <v>0.075</v>
      </c>
      <c r="D197" s="85"/>
      <c r="E197" s="85"/>
      <c r="F197" s="86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</row>
    <row r="198">
      <c r="A198" s="261" t="s">
        <v>507</v>
      </c>
      <c r="B198" s="213">
        <v>3.0</v>
      </c>
      <c r="C198" s="243">
        <f t="shared" si="31"/>
        <v>0.01875</v>
      </c>
      <c r="D198" s="85"/>
      <c r="E198" s="85"/>
      <c r="F198" s="86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</row>
    <row r="199">
      <c r="A199" s="261" t="s">
        <v>510</v>
      </c>
      <c r="B199" s="213">
        <v>153.0</v>
      </c>
      <c r="C199" s="243">
        <f t="shared" si="31"/>
        <v>0.95625</v>
      </c>
      <c r="D199" s="110"/>
      <c r="E199" s="110"/>
      <c r="F199" s="86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</row>
    <row r="200">
      <c r="A200" s="261" t="s">
        <v>513</v>
      </c>
      <c r="B200" s="213">
        <v>0.0</v>
      </c>
      <c r="C200" s="243">
        <f t="shared" si="31"/>
        <v>0</v>
      </c>
      <c r="D200" s="85"/>
      <c r="E200" s="85"/>
      <c r="F200" s="86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</row>
    <row r="201">
      <c r="A201" s="261" t="s">
        <v>516</v>
      </c>
      <c r="B201" s="213">
        <v>0.0</v>
      </c>
      <c r="C201" s="243">
        <f t="shared" si="31"/>
        <v>0</v>
      </c>
      <c r="D201" s="85"/>
      <c r="E201" s="85"/>
      <c r="F201" s="86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</row>
    <row r="202">
      <c r="A202" s="261" t="s">
        <v>517</v>
      </c>
      <c r="B202" s="213">
        <v>153.0</v>
      </c>
      <c r="C202" s="243">
        <f t="shared" si="31"/>
        <v>0.95625</v>
      </c>
      <c r="D202" s="110"/>
      <c r="E202" s="110"/>
      <c r="F202" s="86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</row>
    <row r="203">
      <c r="A203" s="261" t="s">
        <v>520</v>
      </c>
      <c r="B203" s="213">
        <v>0.0</v>
      </c>
      <c r="C203" s="243">
        <f t="shared" si="31"/>
        <v>0</v>
      </c>
      <c r="D203" s="85"/>
      <c r="E203" s="85"/>
      <c r="F203" s="86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</row>
    <row r="204">
      <c r="A204" s="261" t="s">
        <v>524</v>
      </c>
      <c r="B204" s="213">
        <v>0.0</v>
      </c>
      <c r="C204" s="243">
        <f t="shared" si="31"/>
        <v>0</v>
      </c>
      <c r="D204" s="85"/>
      <c r="E204" s="85"/>
      <c r="F204" s="86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</row>
    <row r="205">
      <c r="A205" s="261" t="s">
        <v>527</v>
      </c>
      <c r="B205" s="213">
        <v>153.0</v>
      </c>
      <c r="C205" s="243">
        <f t="shared" si="31"/>
        <v>0.95625</v>
      </c>
      <c r="D205" s="110"/>
      <c r="E205" s="110"/>
      <c r="F205" s="86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</row>
    <row r="206">
      <c r="A206" s="261" t="s">
        <v>529</v>
      </c>
      <c r="B206" s="213">
        <v>0.0</v>
      </c>
      <c r="C206" s="243">
        <f t="shared" si="31"/>
        <v>0</v>
      </c>
      <c r="D206" s="85"/>
      <c r="E206" s="85"/>
      <c r="F206" s="86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</row>
    <row r="207">
      <c r="A207" s="261" t="s">
        <v>532</v>
      </c>
      <c r="B207" s="213">
        <v>7.0</v>
      </c>
      <c r="C207" s="243">
        <f t="shared" si="31"/>
        <v>0.04375</v>
      </c>
      <c r="D207" s="85"/>
      <c r="E207" s="85"/>
      <c r="F207" s="86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</row>
    <row r="208">
      <c r="F208" s="9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</row>
    <row r="209">
      <c r="F209" s="9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</row>
    <row r="210">
      <c r="F210" s="9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</row>
    <row r="211">
      <c r="F211" s="9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</row>
    <row r="212">
      <c r="F212" s="9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</row>
    <row r="213">
      <c r="F213" s="9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</row>
    <row r="214">
      <c r="F214" s="9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</row>
    <row r="215">
      <c r="F215" s="9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</row>
    <row r="216">
      <c r="F216" s="9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</row>
    <row r="217">
      <c r="F217" s="9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</row>
    <row r="218">
      <c r="F218" s="9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</row>
    <row r="219">
      <c r="F219" s="9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</row>
    <row r="220">
      <c r="F220" s="9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</row>
    <row r="221">
      <c r="F221" s="9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</row>
    <row r="222">
      <c r="F222" s="9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</row>
    <row r="223">
      <c r="F223" s="9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</row>
    <row r="224">
      <c r="F224" s="9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</row>
    <row r="225">
      <c r="F225" s="9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</row>
    <row r="226">
      <c r="F226" s="9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</row>
    <row r="227">
      <c r="F227" s="9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</row>
    <row r="228">
      <c r="F228" s="9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</row>
    <row r="229">
      <c r="F229" s="9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</row>
    <row r="230">
      <c r="F230" s="9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</row>
    <row r="231">
      <c r="F231" s="9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</row>
    <row r="232">
      <c r="F232" s="9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</row>
    <row r="233">
      <c r="F233" s="9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</row>
    <row r="234">
      <c r="F234" s="9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</row>
    <row r="235">
      <c r="F235" s="9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</row>
    <row r="236">
      <c r="F236" s="9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</row>
    <row r="237">
      <c r="F237" s="9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</row>
    <row r="238">
      <c r="F238" s="9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</row>
    <row r="239">
      <c r="F239" s="9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</row>
    <row r="240">
      <c r="F240" s="9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</row>
    <row r="241">
      <c r="F241" s="9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</row>
    <row r="242">
      <c r="F242" s="9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</row>
    <row r="243">
      <c r="F243" s="9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</row>
    <row r="244">
      <c r="F244" s="9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</row>
    <row r="245">
      <c r="F245" s="9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</row>
    <row r="246">
      <c r="F246" s="9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</row>
    <row r="247">
      <c r="F247" s="9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</row>
    <row r="248">
      <c r="F248" s="9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</row>
    <row r="249">
      <c r="F249" s="9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</row>
    <row r="250">
      <c r="F250" s="9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</row>
    <row r="251">
      <c r="F251" s="9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</row>
    <row r="252">
      <c r="F252" s="9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</row>
    <row r="253">
      <c r="F253" s="9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</row>
    <row r="254">
      <c r="F254" s="9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</row>
    <row r="255">
      <c r="F255" s="9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</row>
    <row r="256">
      <c r="F256" s="9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</row>
    <row r="257">
      <c r="F257" s="9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</row>
    <row r="258">
      <c r="F258" s="9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</row>
    <row r="259">
      <c r="F259" s="9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</row>
    <row r="260">
      <c r="F260" s="9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</row>
    <row r="261">
      <c r="F261" s="9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</row>
    <row r="262">
      <c r="F262" s="9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</row>
    <row r="263">
      <c r="F263" s="9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</row>
    <row r="264">
      <c r="F264" s="9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</row>
    <row r="265">
      <c r="F265" s="9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</row>
    <row r="266">
      <c r="F266" s="9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</row>
    <row r="267">
      <c r="F267" s="9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</row>
    <row r="268">
      <c r="F268" s="9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</row>
    <row r="269">
      <c r="F269" s="9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</row>
    <row r="270">
      <c r="F270" s="9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</row>
    <row r="271">
      <c r="F271" s="9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</row>
    <row r="272">
      <c r="F272" s="9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</row>
    <row r="273">
      <c r="F273" s="9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</row>
    <row r="274">
      <c r="F274" s="9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</row>
    <row r="275">
      <c r="F275" s="9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</row>
    <row r="276">
      <c r="F276" s="9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</row>
    <row r="277">
      <c r="F277" s="9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</row>
    <row r="278">
      <c r="F278" s="9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</row>
    <row r="279">
      <c r="F279" s="9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</row>
    <row r="280">
      <c r="F280" s="9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</row>
    <row r="281">
      <c r="F281" s="9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</row>
    <row r="282">
      <c r="F282" s="9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</row>
    <row r="283">
      <c r="F283" s="9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</row>
    <row r="284">
      <c r="F284" s="9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</row>
    <row r="285">
      <c r="F285" s="9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</row>
    <row r="286">
      <c r="F286" s="9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</row>
    <row r="287">
      <c r="F287" s="9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</row>
    <row r="288">
      <c r="F288" s="9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</row>
    <row r="289">
      <c r="F289" s="9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</row>
    <row r="290">
      <c r="F290" s="9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</row>
    <row r="291">
      <c r="F291" s="9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</row>
    <row r="292">
      <c r="F292" s="9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</row>
    <row r="293">
      <c r="F293" s="9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</row>
    <row r="294">
      <c r="F294" s="9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</row>
    <row r="295">
      <c r="F295" s="9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</row>
    <row r="296">
      <c r="F296" s="9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</row>
    <row r="297">
      <c r="F297" s="9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</row>
    <row r="298">
      <c r="F298" s="9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</row>
    <row r="299">
      <c r="F299" s="9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</row>
    <row r="300">
      <c r="F300" s="9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</row>
    <row r="301">
      <c r="F301" s="9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</row>
    <row r="302">
      <c r="F302" s="9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</row>
    <row r="303">
      <c r="F303" s="9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</row>
    <row r="304">
      <c r="F304" s="9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</row>
    <row r="305">
      <c r="F305" s="9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</row>
    <row r="306">
      <c r="F306" s="9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</row>
    <row r="307">
      <c r="F307" s="9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</row>
    <row r="308">
      <c r="F308" s="9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</row>
    <row r="309">
      <c r="F309" s="9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</row>
    <row r="310">
      <c r="F310" s="9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</row>
    <row r="311">
      <c r="F311" s="9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</row>
    <row r="312">
      <c r="F312" s="9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</row>
    <row r="313">
      <c r="F313" s="9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</row>
    <row r="314">
      <c r="F314" s="9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</row>
    <row r="315">
      <c r="F315" s="9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</row>
    <row r="316">
      <c r="F316" s="9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</row>
    <row r="317">
      <c r="F317" s="9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</row>
    <row r="318">
      <c r="F318" s="9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</row>
    <row r="319">
      <c r="F319" s="9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</row>
    <row r="320">
      <c r="F320" s="9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</row>
    <row r="321">
      <c r="F321" s="9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</row>
    <row r="322">
      <c r="F322" s="9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</row>
    <row r="323">
      <c r="F323" s="9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</row>
    <row r="324">
      <c r="F324" s="9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</row>
    <row r="325">
      <c r="F325" s="9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</row>
    <row r="326">
      <c r="F326" s="9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</row>
    <row r="327">
      <c r="F327" s="9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</row>
    <row r="328">
      <c r="F328" s="9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</row>
    <row r="329">
      <c r="F329" s="9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</row>
    <row r="330">
      <c r="F330" s="9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</row>
    <row r="331">
      <c r="F331" s="9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</row>
    <row r="332">
      <c r="F332" s="9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</row>
    <row r="333">
      <c r="F333" s="9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</row>
    <row r="334">
      <c r="F334" s="9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</row>
    <row r="335">
      <c r="F335" s="9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</row>
    <row r="336">
      <c r="F336" s="9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</row>
    <row r="337">
      <c r="F337" s="9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</row>
    <row r="338">
      <c r="F338" s="9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</row>
    <row r="339">
      <c r="F339" s="9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</row>
    <row r="340">
      <c r="F340" s="9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</row>
    <row r="341">
      <c r="F341" s="9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</row>
    <row r="342">
      <c r="F342" s="9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</row>
    <row r="343">
      <c r="F343" s="9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</row>
    <row r="344">
      <c r="F344" s="9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</row>
    <row r="345">
      <c r="F345" s="9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</row>
    <row r="346">
      <c r="F346" s="9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</row>
    <row r="347">
      <c r="F347" s="9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</row>
    <row r="348">
      <c r="F348" s="9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</row>
    <row r="349">
      <c r="F349" s="9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</row>
    <row r="350">
      <c r="F350" s="9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</row>
    <row r="351">
      <c r="F351" s="9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</row>
    <row r="352">
      <c r="F352" s="9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</row>
    <row r="353">
      <c r="F353" s="9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</row>
    <row r="354">
      <c r="F354" s="9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</row>
    <row r="355">
      <c r="F355" s="9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</row>
    <row r="356">
      <c r="F356" s="9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</row>
    <row r="357">
      <c r="F357" s="9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</row>
    <row r="358">
      <c r="F358" s="9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</row>
    <row r="359">
      <c r="F359" s="9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</row>
    <row r="360">
      <c r="F360" s="9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</row>
    <row r="361">
      <c r="F361" s="9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</row>
    <row r="362">
      <c r="F362" s="9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</row>
    <row r="363">
      <c r="F363" s="9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</row>
    <row r="364">
      <c r="F364" s="9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</row>
    <row r="365">
      <c r="F365" s="9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</row>
    <row r="366">
      <c r="F366" s="9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</row>
    <row r="367">
      <c r="F367" s="9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</row>
    <row r="368">
      <c r="F368" s="9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</row>
    <row r="369">
      <c r="F369" s="9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</row>
    <row r="370">
      <c r="F370" s="9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</row>
    <row r="371">
      <c r="F371" s="9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</row>
    <row r="372">
      <c r="F372" s="9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</row>
    <row r="373">
      <c r="F373" s="9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</row>
    <row r="374">
      <c r="F374" s="9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</row>
    <row r="375">
      <c r="F375" s="9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</row>
    <row r="376">
      <c r="F376" s="9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</row>
    <row r="377">
      <c r="F377" s="9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</row>
    <row r="378">
      <c r="F378" s="9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</row>
    <row r="379">
      <c r="F379" s="9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</row>
    <row r="380">
      <c r="F380" s="9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</row>
    <row r="381">
      <c r="F381" s="9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</row>
    <row r="382">
      <c r="F382" s="9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</row>
    <row r="383">
      <c r="F383" s="9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</row>
    <row r="384">
      <c r="F384" s="9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</row>
    <row r="385">
      <c r="F385" s="9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</row>
    <row r="386">
      <c r="F386" s="9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</row>
    <row r="387">
      <c r="F387" s="9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</row>
    <row r="388">
      <c r="F388" s="9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</row>
    <row r="389">
      <c r="F389" s="9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</row>
    <row r="390">
      <c r="F390" s="9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</row>
    <row r="391">
      <c r="F391" s="9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</row>
    <row r="392">
      <c r="F392" s="9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</row>
    <row r="393">
      <c r="F393" s="9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</row>
    <row r="394">
      <c r="F394" s="9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</row>
    <row r="395">
      <c r="F395" s="9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</row>
    <row r="396">
      <c r="F396" s="9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</row>
    <row r="397">
      <c r="F397" s="9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</row>
    <row r="398">
      <c r="F398" s="9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</row>
    <row r="399">
      <c r="F399" s="9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</row>
    <row r="400">
      <c r="F400" s="9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</row>
    <row r="401">
      <c r="F401" s="9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</row>
    <row r="402">
      <c r="F402" s="9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</row>
    <row r="403">
      <c r="F403" s="9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</row>
    <row r="404">
      <c r="F404" s="9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</row>
    <row r="405">
      <c r="F405" s="9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</row>
    <row r="406">
      <c r="F406" s="9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</row>
    <row r="407">
      <c r="F407" s="9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</row>
    <row r="408">
      <c r="F408" s="9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</row>
    <row r="409">
      <c r="F409" s="9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</row>
    <row r="410">
      <c r="F410" s="9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</row>
    <row r="411">
      <c r="F411" s="9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</row>
    <row r="412">
      <c r="F412" s="9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</row>
    <row r="413">
      <c r="F413" s="9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</row>
    <row r="414">
      <c r="F414" s="9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</row>
    <row r="415">
      <c r="F415" s="9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</row>
    <row r="416">
      <c r="F416" s="9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</row>
    <row r="417">
      <c r="F417" s="9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</row>
    <row r="418">
      <c r="F418" s="9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</row>
    <row r="419">
      <c r="F419" s="9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</row>
    <row r="420">
      <c r="F420" s="9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</row>
    <row r="421">
      <c r="F421" s="9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</row>
    <row r="422">
      <c r="F422" s="9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</row>
    <row r="423">
      <c r="F423" s="9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</row>
    <row r="424">
      <c r="F424" s="9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</row>
    <row r="425">
      <c r="F425" s="9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</row>
    <row r="426">
      <c r="F426" s="9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</row>
    <row r="427">
      <c r="F427" s="9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</row>
    <row r="428">
      <c r="F428" s="9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</row>
    <row r="429">
      <c r="F429" s="9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</row>
    <row r="430">
      <c r="F430" s="9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</row>
    <row r="431">
      <c r="F431" s="9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</row>
    <row r="432">
      <c r="F432" s="9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</row>
    <row r="433">
      <c r="F433" s="9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</row>
    <row r="434">
      <c r="F434" s="9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</row>
    <row r="435">
      <c r="F435" s="9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</row>
    <row r="436">
      <c r="F436" s="9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</row>
    <row r="437">
      <c r="F437" s="9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</row>
    <row r="438">
      <c r="F438" s="9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</row>
    <row r="439">
      <c r="F439" s="9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</row>
    <row r="440">
      <c r="F440" s="9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</row>
    <row r="441">
      <c r="F441" s="9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</row>
    <row r="442">
      <c r="F442" s="9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</row>
    <row r="443">
      <c r="F443" s="9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</row>
    <row r="444">
      <c r="F444" s="9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</row>
    <row r="445">
      <c r="F445" s="9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</row>
    <row r="446">
      <c r="F446" s="9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</row>
    <row r="447">
      <c r="F447" s="9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</row>
    <row r="448">
      <c r="F448" s="9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</row>
    <row r="449">
      <c r="F449" s="9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</row>
    <row r="450">
      <c r="F450" s="9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</row>
    <row r="451">
      <c r="F451" s="9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</row>
    <row r="452">
      <c r="F452" s="9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</row>
    <row r="453">
      <c r="F453" s="9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</row>
    <row r="454">
      <c r="F454" s="9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</row>
    <row r="455">
      <c r="F455" s="9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</row>
    <row r="456">
      <c r="F456" s="9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</row>
    <row r="457">
      <c r="F457" s="9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</row>
    <row r="458">
      <c r="F458" s="9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</row>
    <row r="459">
      <c r="F459" s="9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</row>
    <row r="460">
      <c r="F460" s="9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</row>
    <row r="461">
      <c r="F461" s="9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</row>
    <row r="462">
      <c r="F462" s="9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</row>
    <row r="463">
      <c r="F463" s="9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</row>
    <row r="464">
      <c r="F464" s="9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</row>
    <row r="465">
      <c r="F465" s="9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</row>
    <row r="466">
      <c r="F466" s="9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</row>
    <row r="467">
      <c r="F467" s="9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</row>
    <row r="468">
      <c r="F468" s="9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</row>
    <row r="469">
      <c r="F469" s="9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</row>
    <row r="470">
      <c r="F470" s="9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</row>
    <row r="471">
      <c r="F471" s="9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</row>
    <row r="472">
      <c r="F472" s="9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</row>
    <row r="473">
      <c r="F473" s="9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</row>
    <row r="474">
      <c r="F474" s="9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</row>
    <row r="475">
      <c r="F475" s="9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</row>
    <row r="476">
      <c r="F476" s="9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</row>
    <row r="477">
      <c r="F477" s="9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</row>
    <row r="478">
      <c r="F478" s="9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</row>
    <row r="479">
      <c r="F479" s="9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</row>
    <row r="480">
      <c r="F480" s="9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</row>
    <row r="481">
      <c r="F481" s="9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</row>
    <row r="482">
      <c r="F482" s="9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</row>
    <row r="483">
      <c r="F483" s="9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</row>
    <row r="484">
      <c r="F484" s="9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</row>
    <row r="485">
      <c r="F485" s="9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</row>
    <row r="486">
      <c r="F486" s="9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</row>
    <row r="487">
      <c r="F487" s="9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</row>
    <row r="488">
      <c r="F488" s="9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</row>
    <row r="489">
      <c r="F489" s="9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</row>
    <row r="490">
      <c r="F490" s="9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</row>
    <row r="491">
      <c r="F491" s="9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</row>
    <row r="492">
      <c r="F492" s="9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</row>
    <row r="493">
      <c r="F493" s="9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</row>
    <row r="494">
      <c r="F494" s="9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</row>
    <row r="495">
      <c r="F495" s="9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</row>
    <row r="496">
      <c r="F496" s="9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</row>
    <row r="497">
      <c r="F497" s="9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</row>
    <row r="498">
      <c r="F498" s="9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</row>
    <row r="499">
      <c r="F499" s="9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</row>
    <row r="500">
      <c r="F500" s="9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</row>
    <row r="501">
      <c r="F501" s="9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</row>
    <row r="502">
      <c r="F502" s="9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</row>
    <row r="503">
      <c r="F503" s="9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</row>
    <row r="504">
      <c r="F504" s="9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</row>
    <row r="505">
      <c r="F505" s="9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</row>
    <row r="506">
      <c r="F506" s="9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</row>
    <row r="507">
      <c r="F507" s="9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</row>
    <row r="508">
      <c r="F508" s="9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</row>
    <row r="509">
      <c r="F509" s="9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</row>
    <row r="510">
      <c r="F510" s="9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</row>
    <row r="511">
      <c r="F511" s="9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</row>
    <row r="512">
      <c r="F512" s="9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</row>
    <row r="513">
      <c r="F513" s="9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</row>
    <row r="514">
      <c r="F514" s="9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</row>
    <row r="515">
      <c r="F515" s="9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</row>
    <row r="516">
      <c r="F516" s="9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</row>
    <row r="517">
      <c r="F517" s="9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</row>
    <row r="518">
      <c r="F518" s="9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</row>
    <row r="519">
      <c r="F519" s="9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</row>
    <row r="520">
      <c r="F520" s="9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</row>
    <row r="521">
      <c r="F521" s="9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</row>
    <row r="522">
      <c r="F522" s="9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</row>
    <row r="523">
      <c r="F523" s="9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</row>
    <row r="524">
      <c r="F524" s="9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</row>
    <row r="525">
      <c r="F525" s="9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</row>
    <row r="526">
      <c r="F526" s="9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</row>
    <row r="527">
      <c r="F527" s="9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</row>
    <row r="528">
      <c r="F528" s="9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</row>
    <row r="529">
      <c r="F529" s="9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</row>
    <row r="530">
      <c r="F530" s="9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</row>
    <row r="531">
      <c r="F531" s="9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</row>
    <row r="532">
      <c r="F532" s="9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</row>
    <row r="533">
      <c r="F533" s="9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</row>
    <row r="534">
      <c r="F534" s="9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</row>
    <row r="535">
      <c r="F535" s="9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</row>
    <row r="536">
      <c r="F536" s="9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</row>
    <row r="537">
      <c r="F537" s="9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</row>
    <row r="538">
      <c r="F538" s="9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</row>
    <row r="539">
      <c r="F539" s="9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</row>
    <row r="540">
      <c r="F540" s="9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</row>
    <row r="541">
      <c r="F541" s="9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</row>
    <row r="542">
      <c r="F542" s="9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</row>
    <row r="543">
      <c r="F543" s="9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</row>
    <row r="544">
      <c r="F544" s="9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</row>
    <row r="545">
      <c r="F545" s="9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</row>
    <row r="546">
      <c r="F546" s="9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</row>
    <row r="547">
      <c r="F547" s="9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</row>
    <row r="548">
      <c r="F548" s="9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</row>
    <row r="549">
      <c r="F549" s="9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</row>
    <row r="550">
      <c r="F550" s="9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</row>
    <row r="551">
      <c r="F551" s="9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</row>
    <row r="552">
      <c r="F552" s="9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</row>
    <row r="553">
      <c r="F553" s="9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</row>
    <row r="554">
      <c r="F554" s="9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</row>
    <row r="555">
      <c r="F555" s="9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</row>
    <row r="556">
      <c r="F556" s="9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</row>
    <row r="557">
      <c r="F557" s="9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</row>
    <row r="558">
      <c r="F558" s="9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</row>
    <row r="559">
      <c r="F559" s="9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</row>
    <row r="560">
      <c r="F560" s="9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</row>
    <row r="561">
      <c r="F561" s="9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</row>
    <row r="562">
      <c r="F562" s="9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</row>
    <row r="563">
      <c r="F563" s="9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</row>
    <row r="564">
      <c r="F564" s="9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</row>
    <row r="565">
      <c r="F565" s="9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</row>
    <row r="566">
      <c r="F566" s="9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</row>
    <row r="567">
      <c r="F567" s="9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</row>
    <row r="568">
      <c r="F568" s="9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</row>
    <row r="569">
      <c r="F569" s="9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</row>
    <row r="570">
      <c r="F570" s="9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</row>
    <row r="571">
      <c r="F571" s="9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</row>
    <row r="572">
      <c r="F572" s="9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</row>
    <row r="573">
      <c r="F573" s="9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</row>
    <row r="574">
      <c r="F574" s="9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</row>
    <row r="575">
      <c r="F575" s="9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</row>
    <row r="576">
      <c r="F576" s="9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</row>
    <row r="577">
      <c r="F577" s="9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</row>
    <row r="578">
      <c r="F578" s="9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</row>
    <row r="579">
      <c r="F579" s="9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</row>
    <row r="580">
      <c r="F580" s="9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</row>
    <row r="581">
      <c r="F581" s="9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</row>
    <row r="582">
      <c r="F582" s="9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</row>
    <row r="583">
      <c r="F583" s="9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</row>
    <row r="584">
      <c r="F584" s="9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</row>
    <row r="585">
      <c r="F585" s="9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</row>
    <row r="586">
      <c r="F586" s="9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</row>
    <row r="587">
      <c r="F587" s="9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</row>
    <row r="588">
      <c r="F588" s="9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</row>
    <row r="589">
      <c r="F589" s="9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</row>
    <row r="590">
      <c r="F590" s="9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</row>
    <row r="591">
      <c r="F591" s="9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</row>
    <row r="592">
      <c r="F592" s="9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</row>
    <row r="593">
      <c r="F593" s="9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</row>
    <row r="594">
      <c r="F594" s="9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</row>
    <row r="595">
      <c r="F595" s="9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</row>
    <row r="596">
      <c r="F596" s="9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</row>
    <row r="597">
      <c r="F597" s="9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</row>
    <row r="598">
      <c r="F598" s="9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</row>
    <row r="599">
      <c r="F599" s="9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</row>
    <row r="600">
      <c r="F600" s="9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</row>
    <row r="601">
      <c r="F601" s="9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</row>
    <row r="602">
      <c r="F602" s="9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</row>
    <row r="603">
      <c r="F603" s="9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</row>
    <row r="604">
      <c r="F604" s="9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</row>
    <row r="605">
      <c r="F605" s="9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</row>
    <row r="606">
      <c r="F606" s="9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</row>
    <row r="607">
      <c r="F607" s="9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</row>
    <row r="608">
      <c r="F608" s="9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</row>
    <row r="609">
      <c r="F609" s="9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</row>
    <row r="610">
      <c r="F610" s="9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</row>
    <row r="611">
      <c r="F611" s="9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</row>
    <row r="612">
      <c r="F612" s="9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</row>
    <row r="613">
      <c r="F613" s="9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</row>
    <row r="614">
      <c r="F614" s="9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</row>
    <row r="615">
      <c r="F615" s="9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</row>
    <row r="616">
      <c r="F616" s="9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</row>
    <row r="617">
      <c r="F617" s="9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</row>
    <row r="618">
      <c r="F618" s="9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</row>
    <row r="619">
      <c r="F619" s="9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</row>
    <row r="620">
      <c r="F620" s="9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</row>
    <row r="621">
      <c r="F621" s="9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</row>
    <row r="622">
      <c r="F622" s="9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</row>
    <row r="623">
      <c r="F623" s="9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</row>
    <row r="624">
      <c r="F624" s="9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</row>
    <row r="625">
      <c r="F625" s="9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</row>
    <row r="626">
      <c r="F626" s="9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</row>
    <row r="627">
      <c r="F627" s="9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</row>
    <row r="628">
      <c r="F628" s="9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</row>
    <row r="629">
      <c r="F629" s="9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</row>
    <row r="630">
      <c r="F630" s="9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</row>
    <row r="631">
      <c r="F631" s="9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</row>
    <row r="632">
      <c r="F632" s="9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</row>
    <row r="633">
      <c r="F633" s="9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</row>
    <row r="634">
      <c r="F634" s="9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</row>
    <row r="635">
      <c r="F635" s="9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</row>
    <row r="636">
      <c r="F636" s="9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</row>
    <row r="637">
      <c r="F637" s="9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</row>
    <row r="638">
      <c r="F638" s="9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</row>
    <row r="639">
      <c r="F639" s="9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</row>
    <row r="640">
      <c r="F640" s="9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</row>
    <row r="641">
      <c r="F641" s="9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</row>
    <row r="642">
      <c r="F642" s="9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</row>
    <row r="643">
      <c r="F643" s="9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</row>
    <row r="644">
      <c r="F644" s="9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</row>
    <row r="645">
      <c r="F645" s="9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</row>
    <row r="646">
      <c r="F646" s="9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</row>
    <row r="647">
      <c r="F647" s="9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</row>
    <row r="648">
      <c r="F648" s="9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</row>
    <row r="649">
      <c r="F649" s="9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</row>
    <row r="650">
      <c r="F650" s="9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</row>
    <row r="651">
      <c r="F651" s="9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</row>
    <row r="652">
      <c r="F652" s="9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</row>
    <row r="653">
      <c r="F653" s="9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</row>
    <row r="654">
      <c r="F654" s="9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</row>
    <row r="655">
      <c r="F655" s="9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</row>
    <row r="656">
      <c r="F656" s="9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</row>
    <row r="657">
      <c r="F657" s="9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</row>
    <row r="658">
      <c r="F658" s="9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</row>
    <row r="659">
      <c r="F659" s="9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</row>
    <row r="660">
      <c r="F660" s="9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</row>
    <row r="661">
      <c r="F661" s="9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</row>
    <row r="662">
      <c r="F662" s="9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</row>
    <row r="663">
      <c r="F663" s="9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</row>
    <row r="664">
      <c r="F664" s="9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</row>
    <row r="665">
      <c r="F665" s="9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</row>
    <row r="666">
      <c r="F666" s="9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</row>
    <row r="667">
      <c r="F667" s="9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</row>
    <row r="668">
      <c r="F668" s="9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</row>
    <row r="669">
      <c r="F669" s="9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</row>
    <row r="670">
      <c r="F670" s="9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</row>
    <row r="671">
      <c r="F671" s="9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</row>
    <row r="672">
      <c r="F672" s="9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</row>
    <row r="673">
      <c r="F673" s="9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</row>
    <row r="674">
      <c r="F674" s="9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</row>
    <row r="675">
      <c r="F675" s="9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</row>
    <row r="676">
      <c r="F676" s="9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</row>
    <row r="677">
      <c r="F677" s="9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</row>
    <row r="678">
      <c r="F678" s="9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</row>
    <row r="679">
      <c r="F679" s="9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</row>
    <row r="680">
      <c r="F680" s="9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</row>
    <row r="681">
      <c r="F681" s="9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</row>
    <row r="682">
      <c r="F682" s="9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</row>
    <row r="683">
      <c r="F683" s="9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</row>
    <row r="684">
      <c r="F684" s="9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</row>
    <row r="685">
      <c r="F685" s="9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</row>
    <row r="686">
      <c r="F686" s="9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</row>
    <row r="687">
      <c r="F687" s="9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</row>
    <row r="688">
      <c r="F688" s="9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</row>
    <row r="689">
      <c r="F689" s="9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</row>
    <row r="690">
      <c r="F690" s="9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</row>
    <row r="691">
      <c r="F691" s="9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</row>
    <row r="692">
      <c r="F692" s="9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</row>
    <row r="693">
      <c r="F693" s="9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</row>
    <row r="694">
      <c r="F694" s="9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</row>
    <row r="695">
      <c r="F695" s="9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</row>
    <row r="696">
      <c r="F696" s="9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</row>
    <row r="697">
      <c r="F697" s="9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</row>
    <row r="698">
      <c r="F698" s="9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</row>
    <row r="699">
      <c r="F699" s="9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</row>
    <row r="700">
      <c r="F700" s="9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</row>
    <row r="701">
      <c r="F701" s="9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</row>
    <row r="702">
      <c r="F702" s="9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</row>
    <row r="703">
      <c r="F703" s="9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</row>
    <row r="704">
      <c r="F704" s="9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</row>
    <row r="705">
      <c r="F705" s="9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</row>
    <row r="706">
      <c r="F706" s="9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</row>
    <row r="707">
      <c r="F707" s="9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</row>
    <row r="708">
      <c r="F708" s="9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</row>
    <row r="709">
      <c r="F709" s="9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</row>
    <row r="710">
      <c r="F710" s="9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</row>
    <row r="711">
      <c r="F711" s="9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</row>
    <row r="712">
      <c r="F712" s="9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</row>
    <row r="713">
      <c r="F713" s="9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</row>
    <row r="714">
      <c r="F714" s="9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</row>
    <row r="715">
      <c r="F715" s="9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</row>
    <row r="716">
      <c r="F716" s="9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</row>
    <row r="717">
      <c r="F717" s="9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</row>
    <row r="718">
      <c r="F718" s="9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</row>
    <row r="719">
      <c r="F719" s="9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</row>
    <row r="720">
      <c r="F720" s="9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</row>
    <row r="721">
      <c r="F721" s="9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</row>
    <row r="722">
      <c r="F722" s="9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</row>
    <row r="723">
      <c r="F723" s="9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</row>
    <row r="724">
      <c r="F724" s="9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</row>
    <row r="725">
      <c r="F725" s="9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</row>
    <row r="726">
      <c r="F726" s="9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</row>
    <row r="727">
      <c r="F727" s="9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</row>
    <row r="728">
      <c r="F728" s="9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</row>
    <row r="729">
      <c r="F729" s="9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</row>
    <row r="730">
      <c r="F730" s="9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</row>
    <row r="731">
      <c r="F731" s="9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</row>
    <row r="732">
      <c r="F732" s="9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</row>
    <row r="733">
      <c r="F733" s="9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</row>
    <row r="734">
      <c r="F734" s="9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</row>
    <row r="735">
      <c r="F735" s="9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</row>
    <row r="736">
      <c r="F736" s="9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</row>
    <row r="737">
      <c r="F737" s="9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</row>
    <row r="738">
      <c r="F738" s="9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</row>
    <row r="739">
      <c r="F739" s="9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</row>
    <row r="740">
      <c r="F740" s="9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</row>
    <row r="741">
      <c r="F741" s="9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</row>
    <row r="742">
      <c r="F742" s="9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</row>
    <row r="743">
      <c r="F743" s="9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</row>
    <row r="744">
      <c r="F744" s="9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</row>
    <row r="745">
      <c r="F745" s="9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</row>
    <row r="746">
      <c r="F746" s="9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</row>
    <row r="747">
      <c r="F747" s="9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</row>
    <row r="748">
      <c r="F748" s="9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</row>
    <row r="749">
      <c r="F749" s="9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</row>
    <row r="750">
      <c r="F750" s="9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</row>
    <row r="751">
      <c r="F751" s="9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</row>
    <row r="752">
      <c r="F752" s="9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</row>
    <row r="753">
      <c r="F753" s="9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</row>
    <row r="754">
      <c r="F754" s="9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</row>
    <row r="755">
      <c r="F755" s="9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</row>
    <row r="756">
      <c r="F756" s="9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</row>
    <row r="757">
      <c r="F757" s="9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</row>
    <row r="758">
      <c r="F758" s="9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</row>
    <row r="759">
      <c r="F759" s="9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</row>
    <row r="760">
      <c r="F760" s="9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</row>
    <row r="761">
      <c r="F761" s="9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</row>
    <row r="762">
      <c r="F762" s="9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</row>
    <row r="763">
      <c r="F763" s="9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</row>
    <row r="764">
      <c r="F764" s="9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</row>
    <row r="765">
      <c r="F765" s="9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</row>
    <row r="766">
      <c r="F766" s="9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</row>
    <row r="767">
      <c r="F767" s="9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</row>
    <row r="768">
      <c r="F768" s="9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</row>
    <row r="769">
      <c r="F769" s="9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</row>
    <row r="770">
      <c r="F770" s="9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</row>
    <row r="771">
      <c r="F771" s="9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</row>
    <row r="772">
      <c r="F772" s="9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</row>
    <row r="773">
      <c r="F773" s="9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</row>
    <row r="774">
      <c r="F774" s="9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</row>
    <row r="775">
      <c r="F775" s="9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</row>
    <row r="776">
      <c r="F776" s="9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</row>
    <row r="777">
      <c r="F777" s="9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</row>
    <row r="778">
      <c r="F778" s="9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</row>
    <row r="779">
      <c r="F779" s="9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</row>
    <row r="780">
      <c r="F780" s="9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</row>
    <row r="781">
      <c r="F781" s="9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</row>
    <row r="782">
      <c r="F782" s="9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</row>
    <row r="783">
      <c r="F783" s="9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</row>
    <row r="784">
      <c r="F784" s="9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</row>
    <row r="785">
      <c r="F785" s="9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</row>
    <row r="786">
      <c r="F786" s="9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</row>
    <row r="787">
      <c r="F787" s="9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</row>
    <row r="788">
      <c r="F788" s="9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</row>
    <row r="789">
      <c r="F789" s="9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</row>
    <row r="790">
      <c r="F790" s="9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</row>
    <row r="791">
      <c r="F791" s="9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</row>
    <row r="792">
      <c r="F792" s="9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</row>
    <row r="793">
      <c r="F793" s="9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</row>
    <row r="794">
      <c r="F794" s="9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</row>
    <row r="795">
      <c r="F795" s="9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</row>
    <row r="796">
      <c r="F796" s="9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</row>
    <row r="797">
      <c r="F797" s="9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</row>
    <row r="798">
      <c r="F798" s="9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</row>
    <row r="799">
      <c r="F799" s="9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</row>
    <row r="800">
      <c r="F800" s="9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</row>
    <row r="801">
      <c r="F801" s="9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</row>
    <row r="802">
      <c r="F802" s="9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</row>
    <row r="803">
      <c r="F803" s="9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</row>
    <row r="804">
      <c r="F804" s="9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</row>
    <row r="805">
      <c r="F805" s="9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</row>
    <row r="806">
      <c r="F806" s="9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</row>
    <row r="807">
      <c r="F807" s="9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</row>
    <row r="808">
      <c r="F808" s="9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</row>
    <row r="809">
      <c r="F809" s="9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</row>
    <row r="810">
      <c r="F810" s="9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</row>
    <row r="811">
      <c r="F811" s="9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</row>
    <row r="812">
      <c r="F812" s="9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</row>
    <row r="813">
      <c r="F813" s="9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</row>
    <row r="814">
      <c r="F814" s="9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</row>
    <row r="815">
      <c r="F815" s="9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</row>
    <row r="816">
      <c r="F816" s="9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</row>
    <row r="817">
      <c r="F817" s="9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</row>
    <row r="818">
      <c r="F818" s="9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</row>
    <row r="819">
      <c r="F819" s="9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</row>
    <row r="820">
      <c r="F820" s="9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</row>
    <row r="821">
      <c r="F821" s="9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</row>
    <row r="822">
      <c r="F822" s="9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</row>
    <row r="823">
      <c r="F823" s="9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</row>
    <row r="824">
      <c r="F824" s="9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</row>
    <row r="825">
      <c r="F825" s="9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</row>
    <row r="826">
      <c r="F826" s="9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</row>
    <row r="827">
      <c r="F827" s="9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</row>
    <row r="828">
      <c r="F828" s="9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</row>
    <row r="829">
      <c r="F829" s="9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</row>
    <row r="830">
      <c r="F830" s="9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</row>
    <row r="831">
      <c r="F831" s="9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</row>
    <row r="832">
      <c r="F832" s="9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</row>
    <row r="833">
      <c r="F833" s="9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</row>
    <row r="834">
      <c r="F834" s="9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</row>
    <row r="835">
      <c r="F835" s="9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</row>
    <row r="836">
      <c r="F836" s="9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</row>
    <row r="837">
      <c r="F837" s="9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</row>
    <row r="838">
      <c r="F838" s="9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</row>
    <row r="839">
      <c r="F839" s="9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</row>
    <row r="840">
      <c r="F840" s="9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</row>
    <row r="841">
      <c r="F841" s="9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</row>
    <row r="842">
      <c r="F842" s="9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</row>
    <row r="843">
      <c r="F843" s="9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</row>
    <row r="844">
      <c r="F844" s="9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</row>
    <row r="845">
      <c r="F845" s="9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</row>
    <row r="846">
      <c r="F846" s="9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</row>
    <row r="847">
      <c r="F847" s="9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</row>
    <row r="848">
      <c r="F848" s="9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</row>
    <row r="849">
      <c r="F849" s="9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</row>
    <row r="850">
      <c r="F850" s="9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</row>
    <row r="851">
      <c r="F851" s="9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</row>
    <row r="852">
      <c r="F852" s="9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</row>
    <row r="853">
      <c r="F853" s="9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</row>
    <row r="854">
      <c r="F854" s="9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</row>
    <row r="855">
      <c r="F855" s="9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</row>
    <row r="856">
      <c r="F856" s="9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</row>
    <row r="857">
      <c r="F857" s="9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</row>
    <row r="858">
      <c r="F858" s="9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</row>
    <row r="859">
      <c r="F859" s="9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</row>
    <row r="860">
      <c r="F860" s="9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</row>
    <row r="861">
      <c r="F861" s="9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</row>
    <row r="862">
      <c r="F862" s="9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</row>
    <row r="863">
      <c r="F863" s="9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</row>
    <row r="864">
      <c r="F864" s="9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</row>
    <row r="865">
      <c r="F865" s="9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</row>
    <row r="866">
      <c r="F866" s="9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</row>
    <row r="867">
      <c r="F867" s="9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</row>
    <row r="868">
      <c r="F868" s="9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</row>
    <row r="869">
      <c r="F869" s="9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</row>
    <row r="870">
      <c r="F870" s="9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</row>
    <row r="871">
      <c r="F871" s="9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</row>
    <row r="872">
      <c r="F872" s="9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</row>
    <row r="873">
      <c r="F873" s="9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</row>
    <row r="874">
      <c r="F874" s="9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</row>
    <row r="875">
      <c r="F875" s="9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</row>
    <row r="876">
      <c r="F876" s="9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</row>
    <row r="877">
      <c r="F877" s="9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</row>
    <row r="878">
      <c r="F878" s="9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</row>
    <row r="879">
      <c r="F879" s="9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</row>
    <row r="880">
      <c r="F880" s="9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</row>
    <row r="881">
      <c r="F881" s="9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</row>
    <row r="882">
      <c r="F882" s="9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</row>
    <row r="883">
      <c r="F883" s="9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</row>
    <row r="884">
      <c r="F884" s="9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</row>
    <row r="885">
      <c r="F885" s="9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</row>
    <row r="886">
      <c r="F886" s="9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</row>
    <row r="887">
      <c r="F887" s="9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</row>
    <row r="888">
      <c r="F888" s="9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</row>
    <row r="889">
      <c r="F889" s="9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</row>
    <row r="890">
      <c r="F890" s="9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</row>
    <row r="891">
      <c r="F891" s="9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</row>
    <row r="892">
      <c r="F892" s="9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</row>
    <row r="893">
      <c r="F893" s="9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</row>
    <row r="894">
      <c r="F894" s="9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</row>
    <row r="895">
      <c r="F895" s="9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</row>
    <row r="896">
      <c r="F896" s="9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</row>
    <row r="897">
      <c r="F897" s="9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</row>
    <row r="898">
      <c r="F898" s="9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</row>
    <row r="899">
      <c r="F899" s="9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</row>
    <row r="900">
      <c r="F900" s="9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</row>
    <row r="901">
      <c r="F901" s="9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</row>
    <row r="902">
      <c r="F902" s="9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</row>
    <row r="903">
      <c r="F903" s="9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</row>
    <row r="904">
      <c r="F904" s="9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</row>
    <row r="905">
      <c r="F905" s="9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</row>
    <row r="906">
      <c r="F906" s="9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</row>
    <row r="907">
      <c r="F907" s="9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</row>
    <row r="908">
      <c r="F908" s="9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</row>
    <row r="909">
      <c r="F909" s="9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</row>
    <row r="910">
      <c r="F910" s="9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</row>
    <row r="911">
      <c r="F911" s="9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</row>
    <row r="912">
      <c r="F912" s="9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</row>
    <row r="913">
      <c r="F913" s="9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</row>
    <row r="914">
      <c r="F914" s="9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</row>
    <row r="915">
      <c r="F915" s="9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</row>
    <row r="916">
      <c r="F916" s="9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</row>
    <row r="917">
      <c r="F917" s="9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</row>
    <row r="918">
      <c r="F918" s="9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</row>
    <row r="919">
      <c r="F919" s="9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</row>
    <row r="920">
      <c r="F920" s="9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</row>
    <row r="921">
      <c r="F921" s="9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</row>
    <row r="922">
      <c r="F922" s="9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</row>
    <row r="923">
      <c r="F923" s="9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</row>
    <row r="924">
      <c r="F924" s="9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</row>
    <row r="925">
      <c r="F925" s="9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</row>
    <row r="926">
      <c r="F926" s="9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</row>
    <row r="927">
      <c r="F927" s="9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</row>
    <row r="928">
      <c r="F928" s="9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</row>
    <row r="929">
      <c r="F929" s="9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</row>
    <row r="930">
      <c r="F930" s="9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</row>
    <row r="931">
      <c r="F931" s="9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</row>
    <row r="932">
      <c r="F932" s="9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</row>
    <row r="933">
      <c r="F933" s="9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</row>
    <row r="934">
      <c r="F934" s="9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</row>
    <row r="935">
      <c r="F935" s="9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</row>
    <row r="936">
      <c r="F936" s="9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</row>
    <row r="937">
      <c r="F937" s="9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</row>
    <row r="938">
      <c r="F938" s="9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</row>
    <row r="939">
      <c r="F939" s="9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</row>
    <row r="940">
      <c r="F940" s="9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</row>
    <row r="941">
      <c r="F941" s="9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</row>
    <row r="942">
      <c r="F942" s="9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</row>
    <row r="943">
      <c r="F943" s="9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</row>
    <row r="944">
      <c r="F944" s="9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</row>
    <row r="945">
      <c r="F945" s="9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</row>
    <row r="946">
      <c r="F946" s="9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</row>
    <row r="947">
      <c r="F947" s="9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</row>
    <row r="948">
      <c r="F948" s="9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</row>
    <row r="949">
      <c r="F949" s="9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</row>
    <row r="950">
      <c r="F950" s="9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</row>
    <row r="951">
      <c r="F951" s="9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</row>
    <row r="952">
      <c r="F952" s="9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</row>
    <row r="953">
      <c r="F953" s="9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</row>
    <row r="954">
      <c r="F954" s="9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</row>
    <row r="955">
      <c r="F955" s="9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</row>
    <row r="956">
      <c r="F956" s="9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</row>
    <row r="957">
      <c r="F957" s="9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</row>
    <row r="958">
      <c r="F958" s="9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</row>
    <row r="959">
      <c r="F959" s="9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</row>
    <row r="960">
      <c r="F960" s="9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</row>
    <row r="961">
      <c r="F961" s="9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</row>
    <row r="962">
      <c r="F962" s="9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</row>
    <row r="963">
      <c r="F963" s="9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</row>
    <row r="964">
      <c r="F964" s="9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</row>
    <row r="965">
      <c r="F965" s="9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</row>
    <row r="966">
      <c r="F966" s="9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</row>
    <row r="967">
      <c r="F967" s="9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</row>
    <row r="968">
      <c r="F968" s="9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</row>
    <row r="969">
      <c r="F969" s="9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</row>
    <row r="970">
      <c r="F970" s="9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</row>
    <row r="971">
      <c r="F971" s="9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</row>
    <row r="972">
      <c r="F972" s="9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</row>
    <row r="973">
      <c r="F973" s="9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</row>
    <row r="974">
      <c r="F974" s="9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</row>
    <row r="975">
      <c r="F975" s="9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</row>
    <row r="976">
      <c r="F976" s="9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</row>
    <row r="977">
      <c r="F977" s="9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</row>
    <row r="978">
      <c r="F978" s="9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</row>
    <row r="979">
      <c r="F979" s="9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</row>
    <row r="980">
      <c r="F980" s="9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</row>
    <row r="981">
      <c r="F981" s="9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</row>
    <row r="982">
      <c r="F982" s="9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</row>
    <row r="983">
      <c r="F983" s="9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</row>
    <row r="984">
      <c r="F984" s="9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</row>
    <row r="985">
      <c r="F985" s="9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</row>
    <row r="986">
      <c r="F986" s="9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</row>
    <row r="987">
      <c r="F987" s="9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</row>
    <row r="988">
      <c r="F988" s="9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</row>
    <row r="989">
      <c r="F989" s="9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</row>
    <row r="990">
      <c r="F990" s="9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</row>
    <row r="991">
      <c r="F991" s="9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</row>
    <row r="992">
      <c r="F992" s="9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</row>
    <row r="993">
      <c r="F993" s="9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</row>
    <row r="994">
      <c r="F994" s="9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</row>
    <row r="995">
      <c r="F995" s="9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</row>
    <row r="996">
      <c r="F996" s="9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</row>
    <row r="997">
      <c r="F997" s="9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</row>
    <row r="998">
      <c r="F998" s="9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</row>
    <row r="999">
      <c r="F999" s="9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</row>
    <row r="1000">
      <c r="F1000" s="9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</row>
    <row r="1001">
      <c r="F1001" s="9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</row>
    <row r="1002">
      <c r="F1002" s="9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</row>
    <row r="1003">
      <c r="F1003" s="9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</row>
    <row r="1004">
      <c r="F1004" s="9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</row>
    <row r="1005">
      <c r="F1005" s="9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</row>
    <row r="1006">
      <c r="F1006" s="9"/>
      <c r="G1006" s="264"/>
      <c r="H1006" s="264"/>
      <c r="I1006" s="264"/>
      <c r="J1006" s="264"/>
      <c r="K1006" s="264"/>
      <c r="L1006" s="264"/>
      <c r="M1006" s="264"/>
      <c r="N1006" s="264"/>
      <c r="O1006" s="264"/>
      <c r="P1006" s="264"/>
      <c r="Q1006" s="264"/>
    </row>
  </sheetData>
  <mergeCells count="10">
    <mergeCell ref="A140:F140"/>
    <mergeCell ref="A163:F163"/>
    <mergeCell ref="A186:F186"/>
    <mergeCell ref="A2:E2"/>
    <mergeCell ref="I2:T2"/>
    <mergeCell ref="A25:E25"/>
    <mergeCell ref="A48:F48"/>
    <mergeCell ref="A71:F71"/>
    <mergeCell ref="A94:E94"/>
    <mergeCell ref="A117:F1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8.0"/>
    <col customWidth="1" min="3" max="3" width="11.75"/>
    <col customWidth="1" hidden="1" min="4" max="4" width="18.0"/>
    <col customWidth="1" hidden="1" min="5" max="5" width="21.25"/>
    <col customWidth="1" hidden="1" min="6" max="6" width="24.5"/>
    <col customWidth="1" hidden="1" min="7" max="7" width="1.38"/>
    <col customWidth="1" min="8" max="8" width="12.38"/>
    <col customWidth="1" min="10" max="11" width="12.25"/>
    <col hidden="1" min="12" max="12" width="12.63"/>
    <col customWidth="1" min="13" max="13" width="9.63"/>
    <col customWidth="1" min="15" max="15" width="11.13"/>
    <col customWidth="1" min="17" max="17" width="8.88"/>
    <col customWidth="1" min="19" max="19" width="10.25"/>
    <col customWidth="1" min="22" max="22" width="16.38"/>
  </cols>
  <sheetData>
    <row r="1">
      <c r="A1" s="1"/>
      <c r="B1" s="11" t="s">
        <v>2</v>
      </c>
      <c r="C1" s="1"/>
      <c r="D1" s="1"/>
      <c r="E1" s="1"/>
      <c r="F1" s="1"/>
      <c r="G1" s="14"/>
      <c r="H1" s="1"/>
      <c r="I1" s="16"/>
      <c r="J1" s="16"/>
      <c r="K1" s="16"/>
      <c r="L1" s="1"/>
      <c r="M1" s="1"/>
      <c r="N1" s="1"/>
      <c r="O1" s="1"/>
      <c r="P1" s="1"/>
      <c r="Q1" s="1"/>
      <c r="R1" s="1"/>
      <c r="S1" s="1"/>
      <c r="T1" s="1"/>
      <c r="U1" s="19"/>
      <c r="V1" s="19"/>
      <c r="W1" s="19"/>
      <c r="X1" s="19"/>
      <c r="Y1" s="19"/>
      <c r="Z1" s="19"/>
      <c r="AA1" s="19"/>
      <c r="AB1" s="19"/>
    </row>
    <row r="2">
      <c r="A2" s="23" t="s">
        <v>21</v>
      </c>
      <c r="B2" s="25"/>
      <c r="C2" s="25"/>
      <c r="D2" s="28"/>
      <c r="E2" s="28"/>
      <c r="F2" s="28"/>
      <c r="G2" s="31" t="s">
        <v>29</v>
      </c>
      <c r="H2" s="34"/>
      <c r="I2" s="36"/>
      <c r="J2" s="36"/>
      <c r="K2" s="36"/>
      <c r="L2" s="1"/>
      <c r="M2" s="1"/>
      <c r="N2" s="1"/>
      <c r="O2" s="1"/>
      <c r="P2" s="1"/>
      <c r="Q2" s="1"/>
      <c r="R2" s="1"/>
      <c r="S2" s="1"/>
      <c r="U2" s="45"/>
      <c r="V2" s="4"/>
      <c r="W2" s="4"/>
      <c r="X2" s="4"/>
      <c r="Y2" s="4"/>
      <c r="Z2" s="4"/>
      <c r="AA2" s="4"/>
      <c r="AB2" s="4"/>
      <c r="AC2" s="4"/>
      <c r="AD2" s="4"/>
      <c r="AE2" s="5"/>
    </row>
    <row r="3">
      <c r="A3" s="49"/>
      <c r="B3" s="54" t="s">
        <v>68</v>
      </c>
      <c r="C3" s="5"/>
      <c r="D3" s="57" t="s">
        <v>75</v>
      </c>
      <c r="E3" s="44" t="s">
        <v>64</v>
      </c>
      <c r="F3" s="47" t="s">
        <v>67</v>
      </c>
      <c r="G3" s="63"/>
      <c r="H3" s="65" t="s">
        <v>97</v>
      </c>
      <c r="I3" s="4"/>
      <c r="J3" s="67"/>
      <c r="K3" s="70" t="s">
        <v>109</v>
      </c>
      <c r="L3" s="71" t="s">
        <v>116</v>
      </c>
      <c r="M3" s="73" t="s">
        <v>119</v>
      </c>
      <c r="P3" s="74" t="s">
        <v>109</v>
      </c>
      <c r="Q3" s="75" t="s">
        <v>123</v>
      </c>
      <c r="R3" s="76"/>
      <c r="S3" s="77"/>
      <c r="T3" s="70" t="s">
        <v>109</v>
      </c>
      <c r="U3" s="80" t="s">
        <v>76</v>
      </c>
      <c r="V3" s="83" t="s">
        <v>82</v>
      </c>
      <c r="W3" s="83" t="s">
        <v>86</v>
      </c>
      <c r="X3" s="83" t="s">
        <v>89</v>
      </c>
      <c r="Y3" s="83" t="s">
        <v>91</v>
      </c>
      <c r="Z3" s="83" t="s">
        <v>92</v>
      </c>
      <c r="AA3" s="88" t="s">
        <v>95</v>
      </c>
      <c r="AB3" s="59" t="s">
        <v>96</v>
      </c>
      <c r="AC3" s="64" t="s">
        <v>98</v>
      </c>
      <c r="AD3" s="66"/>
      <c r="AE3" s="66"/>
    </row>
    <row r="4">
      <c r="A4" s="95" t="s">
        <v>107</v>
      </c>
      <c r="B4" s="98">
        <v>2.0</v>
      </c>
      <c r="C4" s="100"/>
      <c r="D4" s="103">
        <f t="shared" ref="D4:D23" si="2">(B4/174)</f>
        <v>0.01149425287</v>
      </c>
      <c r="E4" s="85"/>
      <c r="F4" s="85"/>
      <c r="G4" s="104"/>
      <c r="H4" s="105" t="s">
        <v>193</v>
      </c>
      <c r="I4" s="106">
        <f t="shared" ref="I4:I12" si="3">(B4*0.1)</f>
        <v>0.2</v>
      </c>
      <c r="J4" s="111">
        <f>(B4*0.01)</f>
        <v>0.02</v>
      </c>
      <c r="K4" s="114"/>
      <c r="L4" s="116">
        <f t="shared" ref="L4:L23" si="4">(J4-B4)</f>
        <v>-1.98</v>
      </c>
      <c r="M4" s="117">
        <v>0.1</v>
      </c>
      <c r="N4" s="119">
        <f t="shared" ref="N4:N12" si="5">(J4*0.1)</f>
        <v>0.002</v>
      </c>
      <c r="O4" s="124">
        <f t="shared" ref="O4:O16" si="6">(J4+N4)</f>
        <v>0.022</v>
      </c>
      <c r="P4" s="126"/>
      <c r="Q4" s="117">
        <v>0.1</v>
      </c>
      <c r="R4" s="127">
        <f t="shared" ref="R4:R12" si="7">(O4*0.1)</f>
        <v>0.0022</v>
      </c>
      <c r="S4" s="128">
        <f t="shared" ref="S4:S23" si="8">(O4+R4)</f>
        <v>0.0242</v>
      </c>
      <c r="T4" s="129"/>
      <c r="U4" s="130">
        <v>10.0</v>
      </c>
      <c r="V4" s="55">
        <v>3.0</v>
      </c>
      <c r="W4" s="97">
        <f t="shared" ref="W4:X4" si="1">(U4/160)</f>
        <v>0.0625</v>
      </c>
      <c r="X4" s="97">
        <f t="shared" si="1"/>
        <v>0.01875</v>
      </c>
      <c r="Y4" s="97">
        <f t="shared" ref="Y4:Y23" si="10">(W4-X4)</f>
        <v>0.04375</v>
      </c>
      <c r="Z4" s="55">
        <v>8.0</v>
      </c>
      <c r="AA4" s="55">
        <v>8.0</v>
      </c>
      <c r="AB4" s="55"/>
      <c r="AC4" s="55">
        <v>10.0</v>
      </c>
      <c r="AD4" s="66"/>
      <c r="AE4" s="66"/>
    </row>
    <row r="5">
      <c r="A5" s="131" t="s">
        <v>187</v>
      </c>
      <c r="B5" s="132">
        <v>10.0</v>
      </c>
      <c r="C5" s="133"/>
      <c r="D5" s="103">
        <f t="shared" si="2"/>
        <v>0.05747126437</v>
      </c>
      <c r="E5" s="85"/>
      <c r="F5" s="85"/>
      <c r="G5" s="104"/>
      <c r="H5" s="105" t="s">
        <v>193</v>
      </c>
      <c r="I5" s="134">
        <f t="shared" si="3"/>
        <v>1</v>
      </c>
      <c r="J5" s="135">
        <f t="shared" ref="J5:J18" si="11">(B5+I5)</f>
        <v>11</v>
      </c>
      <c r="K5" s="136"/>
      <c r="L5" s="116">
        <f t="shared" si="4"/>
        <v>1</v>
      </c>
      <c r="M5" s="117">
        <v>0.1</v>
      </c>
      <c r="N5" s="137">
        <f t="shared" si="5"/>
        <v>1.1</v>
      </c>
      <c r="O5" s="138">
        <f t="shared" si="6"/>
        <v>12.1</v>
      </c>
      <c r="P5" s="139"/>
      <c r="Q5" s="117">
        <v>0.1</v>
      </c>
      <c r="R5" s="127">
        <f t="shared" si="7"/>
        <v>1.21</v>
      </c>
      <c r="S5" s="140">
        <f t="shared" si="8"/>
        <v>13.31</v>
      </c>
      <c r="T5" s="141"/>
      <c r="U5" s="130">
        <v>15.0</v>
      </c>
      <c r="V5" s="55">
        <v>9.0</v>
      </c>
      <c r="W5" s="97">
        <f t="shared" ref="W5:X5" si="9">(U5/160)</f>
        <v>0.09375</v>
      </c>
      <c r="X5" s="97">
        <f t="shared" si="9"/>
        <v>0.05625</v>
      </c>
      <c r="Y5" s="97">
        <f t="shared" si="10"/>
        <v>0.0375</v>
      </c>
      <c r="Z5" s="55">
        <v>13.0</v>
      </c>
      <c r="AA5" s="55">
        <v>13.0</v>
      </c>
      <c r="AB5" s="55"/>
      <c r="AC5" s="55">
        <v>15.0</v>
      </c>
      <c r="AD5" s="66"/>
      <c r="AE5" s="66"/>
    </row>
    <row r="6">
      <c r="A6" s="145" t="s">
        <v>213</v>
      </c>
      <c r="B6" s="132">
        <v>12.0</v>
      </c>
      <c r="C6" s="146">
        <f>(B6/160*100)</f>
        <v>7.5</v>
      </c>
      <c r="D6" s="147">
        <f t="shared" si="2"/>
        <v>0.06896551724</v>
      </c>
      <c r="E6" s="110"/>
      <c r="F6" s="110"/>
      <c r="G6" s="148"/>
      <c r="H6" s="149" t="s">
        <v>193</v>
      </c>
      <c r="I6" s="150">
        <f t="shared" si="3"/>
        <v>1.2</v>
      </c>
      <c r="J6" s="151">
        <f t="shared" si="11"/>
        <v>13.2</v>
      </c>
      <c r="K6" s="152">
        <f>(J6/160*100)</f>
        <v>8.25</v>
      </c>
      <c r="L6" s="153">
        <f t="shared" si="4"/>
        <v>1.2</v>
      </c>
      <c r="M6" s="154">
        <v>0.1</v>
      </c>
      <c r="N6" s="155">
        <f t="shared" si="5"/>
        <v>1.32</v>
      </c>
      <c r="O6" s="156">
        <f t="shared" si="6"/>
        <v>14.52</v>
      </c>
      <c r="P6" s="157">
        <f>(O6/160*100)</f>
        <v>9.075</v>
      </c>
      <c r="Q6" s="154">
        <v>0.1</v>
      </c>
      <c r="R6" s="158">
        <f t="shared" si="7"/>
        <v>1.452</v>
      </c>
      <c r="S6" s="159">
        <f t="shared" si="8"/>
        <v>15.972</v>
      </c>
      <c r="T6" s="160">
        <f>(S6/160*100)</f>
        <v>9.9825</v>
      </c>
      <c r="U6" s="161">
        <v>20.0</v>
      </c>
      <c r="V6" s="115">
        <v>12.0</v>
      </c>
      <c r="W6" s="118">
        <f t="shared" ref="W6:X6" si="12">(U6/160)</f>
        <v>0.125</v>
      </c>
      <c r="X6" s="118">
        <f t="shared" si="12"/>
        <v>0.075</v>
      </c>
      <c r="Y6" s="118">
        <f t="shared" si="10"/>
        <v>0.05</v>
      </c>
      <c r="Z6" s="115">
        <v>21.0</v>
      </c>
      <c r="AA6" s="115">
        <v>21.0</v>
      </c>
      <c r="AB6" s="115"/>
      <c r="AC6" s="115">
        <v>20.0</v>
      </c>
      <c r="AD6" s="121"/>
      <c r="AE6" s="121"/>
      <c r="AF6" s="162"/>
      <c r="AG6" s="162"/>
      <c r="AH6" s="162"/>
      <c r="AI6" s="162"/>
      <c r="AJ6" s="162"/>
      <c r="AK6" s="162"/>
      <c r="AL6" s="162"/>
      <c r="AM6" s="162"/>
      <c r="AN6" s="162"/>
      <c r="AO6" s="162"/>
      <c r="AP6" s="162"/>
    </row>
    <row r="7">
      <c r="A7" s="131" t="s">
        <v>251</v>
      </c>
      <c r="B7" s="132">
        <v>21.0</v>
      </c>
      <c r="C7" s="133"/>
      <c r="D7" s="103">
        <f t="shared" si="2"/>
        <v>0.1206896552</v>
      </c>
      <c r="E7" s="85"/>
      <c r="F7" s="85"/>
      <c r="G7" s="104"/>
      <c r="H7" s="105" t="s">
        <v>193</v>
      </c>
      <c r="I7" s="134">
        <f t="shared" si="3"/>
        <v>2.1</v>
      </c>
      <c r="J7" s="135">
        <f t="shared" si="11"/>
        <v>23.1</v>
      </c>
      <c r="K7" s="163"/>
      <c r="L7" s="116">
        <f t="shared" si="4"/>
        <v>2.1</v>
      </c>
      <c r="M7" s="117">
        <v>0.1</v>
      </c>
      <c r="N7" s="137">
        <f t="shared" si="5"/>
        <v>2.31</v>
      </c>
      <c r="O7" s="138">
        <f t="shared" si="6"/>
        <v>25.41</v>
      </c>
      <c r="P7" s="139"/>
      <c r="Q7" s="117">
        <v>0.1</v>
      </c>
      <c r="R7" s="127">
        <f t="shared" si="7"/>
        <v>2.541</v>
      </c>
      <c r="S7" s="140">
        <f t="shared" si="8"/>
        <v>27.951</v>
      </c>
      <c r="T7" s="141"/>
      <c r="U7" s="130">
        <v>30.0</v>
      </c>
      <c r="V7" s="55">
        <v>17.0</v>
      </c>
      <c r="W7" s="97">
        <f t="shared" ref="W7:X7" si="13">(U7/160)</f>
        <v>0.1875</v>
      </c>
      <c r="X7" s="97">
        <f t="shared" si="13"/>
        <v>0.10625</v>
      </c>
      <c r="Y7" s="97">
        <f t="shared" si="10"/>
        <v>0.08125</v>
      </c>
      <c r="Z7" s="55">
        <v>20.0</v>
      </c>
      <c r="AA7" s="55">
        <v>20.0</v>
      </c>
      <c r="AB7" s="55"/>
      <c r="AC7" s="55">
        <v>30.0</v>
      </c>
      <c r="AD7" s="66"/>
      <c r="AE7" s="66"/>
    </row>
    <row r="8">
      <c r="A8" s="131" t="s">
        <v>270</v>
      </c>
      <c r="B8" s="132">
        <v>21.0</v>
      </c>
      <c r="C8" s="133"/>
      <c r="D8" s="103">
        <f t="shared" si="2"/>
        <v>0.1206896552</v>
      </c>
      <c r="E8" s="85"/>
      <c r="F8" s="85"/>
      <c r="G8" s="104"/>
      <c r="H8" s="105" t="s">
        <v>193</v>
      </c>
      <c r="I8" s="134">
        <f t="shared" si="3"/>
        <v>2.1</v>
      </c>
      <c r="J8" s="135">
        <f t="shared" si="11"/>
        <v>23.1</v>
      </c>
      <c r="K8" s="163"/>
      <c r="L8" s="116">
        <f t="shared" si="4"/>
        <v>2.1</v>
      </c>
      <c r="M8" s="117">
        <v>0.1</v>
      </c>
      <c r="N8" s="137">
        <f t="shared" si="5"/>
        <v>2.31</v>
      </c>
      <c r="O8" s="138">
        <f t="shared" si="6"/>
        <v>25.41</v>
      </c>
      <c r="P8" s="139"/>
      <c r="Q8" s="117">
        <v>0.1</v>
      </c>
      <c r="R8" s="127">
        <f t="shared" si="7"/>
        <v>2.541</v>
      </c>
      <c r="S8" s="140">
        <f t="shared" si="8"/>
        <v>27.951</v>
      </c>
      <c r="T8" s="141"/>
      <c r="U8" s="130">
        <v>20.0</v>
      </c>
      <c r="V8" s="55">
        <v>20.0</v>
      </c>
      <c r="W8" s="97">
        <f t="shared" ref="W8:X8" si="14">(U8/160)</f>
        <v>0.125</v>
      </c>
      <c r="X8" s="97">
        <f t="shared" si="14"/>
        <v>0.125</v>
      </c>
      <c r="Y8" s="97">
        <f t="shared" si="10"/>
        <v>0</v>
      </c>
      <c r="Z8" s="55">
        <v>10.0</v>
      </c>
      <c r="AA8" s="55">
        <v>10.0</v>
      </c>
      <c r="AB8" s="55"/>
      <c r="AC8" s="55">
        <v>20.0</v>
      </c>
      <c r="AD8" s="66"/>
      <c r="AE8" s="66"/>
    </row>
    <row r="9">
      <c r="A9" s="145" t="s">
        <v>283</v>
      </c>
      <c r="B9" s="132">
        <v>54.0</v>
      </c>
      <c r="C9" s="146">
        <f>(B9/160*100)</f>
        <v>33.75</v>
      </c>
      <c r="D9" s="147">
        <f t="shared" si="2"/>
        <v>0.3103448276</v>
      </c>
      <c r="E9" s="110"/>
      <c r="F9" s="110"/>
      <c r="G9" s="148"/>
      <c r="H9" s="149" t="s">
        <v>193</v>
      </c>
      <c r="I9" s="150">
        <f t="shared" si="3"/>
        <v>5.4</v>
      </c>
      <c r="J9" s="151">
        <f t="shared" si="11"/>
        <v>59.4</v>
      </c>
      <c r="K9" s="152">
        <f>(J9/160*100)</f>
        <v>37.125</v>
      </c>
      <c r="L9" s="153">
        <f t="shared" si="4"/>
        <v>5.4</v>
      </c>
      <c r="M9" s="154">
        <v>0.1</v>
      </c>
      <c r="N9" s="155">
        <f t="shared" si="5"/>
        <v>5.94</v>
      </c>
      <c r="O9" s="156">
        <f t="shared" si="6"/>
        <v>65.34</v>
      </c>
      <c r="P9" s="157">
        <f>(O9/160*100)</f>
        <v>40.8375</v>
      </c>
      <c r="Q9" s="154">
        <v>0.1</v>
      </c>
      <c r="R9" s="158">
        <f t="shared" si="7"/>
        <v>6.534</v>
      </c>
      <c r="S9" s="159">
        <f t="shared" si="8"/>
        <v>71.874</v>
      </c>
      <c r="T9" s="160">
        <f>(S9/160*100)</f>
        <v>44.92125</v>
      </c>
      <c r="U9" s="161">
        <v>70.0</v>
      </c>
      <c r="V9" s="115">
        <v>49.0</v>
      </c>
      <c r="W9" s="118">
        <f t="shared" ref="W9:X9" si="15">(U9/160)</f>
        <v>0.4375</v>
      </c>
      <c r="X9" s="118">
        <f t="shared" si="15"/>
        <v>0.30625</v>
      </c>
      <c r="Y9" s="118">
        <f t="shared" si="10"/>
        <v>0.13125</v>
      </c>
      <c r="Z9" s="115">
        <v>51.0</v>
      </c>
      <c r="AA9" s="115">
        <v>51.0</v>
      </c>
      <c r="AB9" s="115"/>
      <c r="AC9" s="115">
        <v>70.0</v>
      </c>
      <c r="AD9" s="121"/>
      <c r="AE9" s="121"/>
      <c r="AF9" s="162"/>
      <c r="AG9" s="162"/>
      <c r="AH9" s="162"/>
      <c r="AI9" s="162"/>
      <c r="AJ9" s="162"/>
      <c r="AK9" s="162"/>
      <c r="AL9" s="162"/>
      <c r="AM9" s="162"/>
      <c r="AN9" s="162"/>
      <c r="AO9" s="162"/>
      <c r="AP9" s="162"/>
    </row>
    <row r="10">
      <c r="A10" s="131" t="s">
        <v>296</v>
      </c>
      <c r="B10" s="132">
        <v>26.0</v>
      </c>
      <c r="C10" s="133"/>
      <c r="D10" s="103">
        <f t="shared" si="2"/>
        <v>0.1494252874</v>
      </c>
      <c r="E10" s="85"/>
      <c r="F10" s="85"/>
      <c r="G10" s="104"/>
      <c r="H10" s="105" t="s">
        <v>193</v>
      </c>
      <c r="I10" s="134">
        <f t="shared" si="3"/>
        <v>2.6</v>
      </c>
      <c r="J10" s="135">
        <f t="shared" si="11"/>
        <v>28.6</v>
      </c>
      <c r="K10" s="163"/>
      <c r="L10" s="116">
        <f t="shared" si="4"/>
        <v>2.6</v>
      </c>
      <c r="M10" s="117">
        <v>0.1</v>
      </c>
      <c r="N10" s="137">
        <f t="shared" si="5"/>
        <v>2.86</v>
      </c>
      <c r="O10" s="138">
        <f t="shared" si="6"/>
        <v>31.46</v>
      </c>
      <c r="P10" s="139"/>
      <c r="Q10" s="117">
        <v>0.1</v>
      </c>
      <c r="R10" s="127">
        <f t="shared" si="7"/>
        <v>3.146</v>
      </c>
      <c r="S10" s="140">
        <f t="shared" si="8"/>
        <v>34.606</v>
      </c>
      <c r="T10" s="141"/>
      <c r="U10" s="130">
        <v>20.0</v>
      </c>
      <c r="V10" s="55">
        <v>18.0</v>
      </c>
      <c r="W10" s="97">
        <f t="shared" ref="W10:X10" si="16">(U10/160)</f>
        <v>0.125</v>
      </c>
      <c r="X10" s="97">
        <f t="shared" si="16"/>
        <v>0.1125</v>
      </c>
      <c r="Y10" s="97">
        <f t="shared" si="10"/>
        <v>0.0125</v>
      </c>
      <c r="Z10" s="55">
        <v>15.0</v>
      </c>
      <c r="AA10" s="55">
        <v>15.0</v>
      </c>
      <c r="AB10" s="55"/>
      <c r="AC10" s="55">
        <v>20.0</v>
      </c>
      <c r="AD10" s="66"/>
      <c r="AE10" s="66"/>
    </row>
    <row r="11">
      <c r="A11" s="131" t="s">
        <v>308</v>
      </c>
      <c r="B11" s="132">
        <v>15.0</v>
      </c>
      <c r="C11" s="133"/>
      <c r="D11" s="103">
        <f t="shared" si="2"/>
        <v>0.08620689655</v>
      </c>
      <c r="E11" s="85"/>
      <c r="F11" s="85"/>
      <c r="G11" s="104"/>
      <c r="H11" s="105" t="s">
        <v>193</v>
      </c>
      <c r="I11" s="134">
        <f t="shared" si="3"/>
        <v>1.5</v>
      </c>
      <c r="J11" s="135">
        <f t="shared" si="11"/>
        <v>16.5</v>
      </c>
      <c r="K11" s="163"/>
      <c r="L11" s="116">
        <f t="shared" si="4"/>
        <v>1.5</v>
      </c>
      <c r="M11" s="117">
        <v>0.1</v>
      </c>
      <c r="N11" s="137">
        <f t="shared" si="5"/>
        <v>1.65</v>
      </c>
      <c r="O11" s="138">
        <f t="shared" si="6"/>
        <v>18.15</v>
      </c>
      <c r="P11" s="139"/>
      <c r="Q11" s="117">
        <v>0.1</v>
      </c>
      <c r="R11" s="127">
        <f t="shared" si="7"/>
        <v>1.815</v>
      </c>
      <c r="S11" s="140">
        <f t="shared" si="8"/>
        <v>19.965</v>
      </c>
      <c r="T11" s="141"/>
      <c r="U11" s="130">
        <v>20.0</v>
      </c>
      <c r="V11" s="55">
        <v>29.0</v>
      </c>
      <c r="W11" s="97">
        <f t="shared" ref="W11:X11" si="17">(U11/160)</f>
        <v>0.125</v>
      </c>
      <c r="X11" s="97">
        <f t="shared" si="17"/>
        <v>0.18125</v>
      </c>
      <c r="Y11" s="97">
        <f t="shared" si="10"/>
        <v>-0.05625</v>
      </c>
      <c r="Z11" s="55">
        <v>15.0</v>
      </c>
      <c r="AA11" s="55">
        <v>15.0</v>
      </c>
      <c r="AB11" s="55"/>
      <c r="AC11" s="55">
        <v>20.0</v>
      </c>
      <c r="AD11" s="66"/>
      <c r="AE11" s="66"/>
    </row>
    <row r="12">
      <c r="A12" s="176" t="s">
        <v>323</v>
      </c>
      <c r="B12" s="132">
        <v>95.0</v>
      </c>
      <c r="C12" s="177">
        <f>(B12/160*100)</f>
        <v>59.375</v>
      </c>
      <c r="D12" s="178">
        <f t="shared" si="2"/>
        <v>0.5459770115</v>
      </c>
      <c r="E12" s="179"/>
      <c r="F12" s="179"/>
      <c r="G12" s="180"/>
      <c r="H12" s="181" t="s">
        <v>193</v>
      </c>
      <c r="I12" s="182">
        <f t="shared" si="3"/>
        <v>9.5</v>
      </c>
      <c r="J12" s="184">
        <f t="shared" si="11"/>
        <v>104.5</v>
      </c>
      <c r="K12" s="188">
        <f>(J12/160*100)</f>
        <v>65.3125</v>
      </c>
      <c r="L12" s="190">
        <f t="shared" si="4"/>
        <v>9.5</v>
      </c>
      <c r="M12" s="191">
        <v>0.1</v>
      </c>
      <c r="N12" s="192">
        <f t="shared" si="5"/>
        <v>10.45</v>
      </c>
      <c r="O12" s="194">
        <f t="shared" si="6"/>
        <v>114.95</v>
      </c>
      <c r="P12" s="197">
        <f>(O12/160*100)</f>
        <v>71.84375</v>
      </c>
      <c r="Q12" s="191">
        <v>0.1</v>
      </c>
      <c r="R12" s="198">
        <f t="shared" si="7"/>
        <v>11.495</v>
      </c>
      <c r="S12" s="200">
        <f t="shared" si="8"/>
        <v>126.445</v>
      </c>
      <c r="T12" s="201">
        <f>(S12/160*100)</f>
        <v>79.028125</v>
      </c>
      <c r="U12" s="203">
        <v>110.0</v>
      </c>
      <c r="V12" s="92">
        <v>96.0</v>
      </c>
      <c r="W12" s="101">
        <f t="shared" ref="W12:X12" si="18">(U12/160)</f>
        <v>0.6875</v>
      </c>
      <c r="X12" s="101">
        <f t="shared" si="18"/>
        <v>0.6</v>
      </c>
      <c r="Y12" s="101">
        <f t="shared" si="10"/>
        <v>0.0875</v>
      </c>
      <c r="Z12" s="92">
        <v>81.0</v>
      </c>
      <c r="AA12" s="92">
        <v>81.0</v>
      </c>
      <c r="AB12" s="92"/>
      <c r="AC12" s="92">
        <v>110.0</v>
      </c>
      <c r="AD12" s="205"/>
      <c r="AE12" s="205"/>
      <c r="AF12" s="206"/>
      <c r="AG12" s="206"/>
      <c r="AH12" s="206"/>
      <c r="AI12" s="206"/>
      <c r="AJ12" s="206"/>
      <c r="AK12" s="206"/>
      <c r="AL12" s="206"/>
      <c r="AM12" s="206"/>
      <c r="AN12" s="206"/>
      <c r="AO12" s="206"/>
      <c r="AP12" s="206"/>
    </row>
    <row r="13">
      <c r="A13" s="131" t="s">
        <v>365</v>
      </c>
      <c r="B13" s="132">
        <v>21.0</v>
      </c>
      <c r="C13" s="133"/>
      <c r="D13" s="103">
        <f t="shared" si="2"/>
        <v>0.1206896552</v>
      </c>
      <c r="E13" s="85"/>
      <c r="F13" s="85"/>
      <c r="G13" s="104"/>
      <c r="H13" s="117">
        <v>0.05</v>
      </c>
      <c r="I13" s="208">
        <f t="shared" ref="I13:I23" si="20">(B13*0.05)</f>
        <v>1.05</v>
      </c>
      <c r="J13" s="135">
        <f t="shared" si="11"/>
        <v>22.05</v>
      </c>
      <c r="K13" s="163"/>
      <c r="L13" s="116">
        <f t="shared" si="4"/>
        <v>1.05</v>
      </c>
      <c r="M13" s="117">
        <v>0.05</v>
      </c>
      <c r="N13" s="137">
        <f t="shared" ref="N13:N23" si="21">(J13*0.05)</f>
        <v>1.1025</v>
      </c>
      <c r="O13" s="138">
        <f t="shared" si="6"/>
        <v>23.1525</v>
      </c>
      <c r="P13" s="139"/>
      <c r="Q13" s="210">
        <v>0.05</v>
      </c>
      <c r="R13" s="211">
        <f t="shared" ref="R13:R23" si="22">(O13*0.05)</f>
        <v>1.157625</v>
      </c>
      <c r="S13" s="140">
        <f t="shared" si="8"/>
        <v>24.310125</v>
      </c>
      <c r="T13" s="141"/>
      <c r="U13" s="130">
        <v>20.0</v>
      </c>
      <c r="V13" s="55">
        <v>20.0</v>
      </c>
      <c r="W13" s="97">
        <f t="shared" ref="W13:X13" si="19">(U13/160)</f>
        <v>0.125</v>
      </c>
      <c r="X13" s="97">
        <f t="shared" si="19"/>
        <v>0.125</v>
      </c>
      <c r="Y13" s="97">
        <f t="shared" si="10"/>
        <v>0</v>
      </c>
      <c r="Z13" s="55">
        <v>15.0</v>
      </c>
      <c r="AA13" s="55">
        <v>15.0</v>
      </c>
      <c r="AB13" s="55"/>
      <c r="AC13" s="55">
        <v>20.0</v>
      </c>
      <c r="AD13" s="66"/>
      <c r="AE13" s="66"/>
    </row>
    <row r="14">
      <c r="A14" s="131" t="s">
        <v>380</v>
      </c>
      <c r="B14" s="132">
        <v>15.0</v>
      </c>
      <c r="C14" s="133"/>
      <c r="D14" s="103">
        <f t="shared" si="2"/>
        <v>0.08620689655</v>
      </c>
      <c r="E14" s="85"/>
      <c r="F14" s="85"/>
      <c r="G14" s="104"/>
      <c r="H14" s="117">
        <v>0.05</v>
      </c>
      <c r="I14" s="208">
        <f t="shared" si="20"/>
        <v>0.75</v>
      </c>
      <c r="J14" s="135">
        <f t="shared" si="11"/>
        <v>15.75</v>
      </c>
      <c r="K14" s="163"/>
      <c r="L14" s="116">
        <f t="shared" si="4"/>
        <v>0.75</v>
      </c>
      <c r="M14" s="117">
        <v>0.05</v>
      </c>
      <c r="N14" s="137">
        <f t="shared" si="21"/>
        <v>0.7875</v>
      </c>
      <c r="O14" s="138">
        <f t="shared" si="6"/>
        <v>16.5375</v>
      </c>
      <c r="P14" s="139"/>
      <c r="Q14" s="210">
        <v>0.05</v>
      </c>
      <c r="R14" s="211">
        <f t="shared" si="22"/>
        <v>0.826875</v>
      </c>
      <c r="S14" s="140">
        <f t="shared" si="8"/>
        <v>17.364375</v>
      </c>
      <c r="T14" s="141"/>
      <c r="U14" s="130">
        <v>10.0</v>
      </c>
      <c r="V14" s="55">
        <v>7.0</v>
      </c>
      <c r="W14" s="97">
        <f t="shared" ref="W14:X14" si="23">(U14/160)</f>
        <v>0.0625</v>
      </c>
      <c r="X14" s="97">
        <f t="shared" si="23"/>
        <v>0.04375</v>
      </c>
      <c r="Y14" s="97">
        <f t="shared" si="10"/>
        <v>0.01875</v>
      </c>
      <c r="Z14" s="55">
        <v>15.0</v>
      </c>
      <c r="AA14" s="55">
        <v>15.0</v>
      </c>
      <c r="AB14" s="55"/>
      <c r="AC14" s="55">
        <v>10.0</v>
      </c>
      <c r="AD14" s="66"/>
      <c r="AE14" s="66"/>
    </row>
    <row r="15">
      <c r="A15" s="145" t="s">
        <v>390</v>
      </c>
      <c r="B15" s="132">
        <v>131.0</v>
      </c>
      <c r="C15" s="146">
        <f>(B15/160*100)</f>
        <v>81.875</v>
      </c>
      <c r="D15" s="147">
        <f t="shared" si="2"/>
        <v>0.7528735632</v>
      </c>
      <c r="E15" s="110"/>
      <c r="F15" s="110"/>
      <c r="G15" s="148"/>
      <c r="H15" s="154">
        <v>0.05</v>
      </c>
      <c r="I15" s="212">
        <f t="shared" si="20"/>
        <v>6.55</v>
      </c>
      <c r="J15" s="151">
        <f t="shared" si="11"/>
        <v>137.55</v>
      </c>
      <c r="K15" s="152">
        <f>(J15/160*100)</f>
        <v>85.96875</v>
      </c>
      <c r="L15" s="153">
        <f t="shared" si="4"/>
        <v>6.55</v>
      </c>
      <c r="M15" s="154">
        <v>0.05</v>
      </c>
      <c r="N15" s="155">
        <f t="shared" si="21"/>
        <v>6.8775</v>
      </c>
      <c r="O15" s="156">
        <f t="shared" si="6"/>
        <v>144.4275</v>
      </c>
      <c r="P15" s="157">
        <f t="shared" ref="P15:P16" si="25">(O15/160*100)</f>
        <v>90.2671875</v>
      </c>
      <c r="Q15" s="217">
        <v>0.05</v>
      </c>
      <c r="R15" s="218">
        <f t="shared" si="22"/>
        <v>7.221375</v>
      </c>
      <c r="S15" s="159">
        <f t="shared" si="8"/>
        <v>151.648875</v>
      </c>
      <c r="T15" s="160">
        <f>(S15/160*100)</f>
        <v>94.78054688</v>
      </c>
      <c r="U15" s="161">
        <v>140.0</v>
      </c>
      <c r="V15" s="115">
        <v>123.0</v>
      </c>
      <c r="W15" s="118">
        <f t="shared" ref="W15:X15" si="24">(U15/160)</f>
        <v>0.875</v>
      </c>
      <c r="X15" s="118">
        <f t="shared" si="24"/>
        <v>0.76875</v>
      </c>
      <c r="Y15" s="118">
        <f t="shared" si="10"/>
        <v>0.10625</v>
      </c>
      <c r="Z15" s="115">
        <v>111.0</v>
      </c>
      <c r="AA15" s="115">
        <v>111.0</v>
      </c>
      <c r="AB15" s="115"/>
      <c r="AC15" s="115">
        <v>140.0</v>
      </c>
      <c r="AD15" s="121"/>
      <c r="AE15" s="121"/>
      <c r="AF15" s="162"/>
      <c r="AG15" s="162"/>
      <c r="AH15" s="162"/>
      <c r="AI15" s="162"/>
      <c r="AJ15" s="162"/>
      <c r="AK15" s="162"/>
      <c r="AL15" s="162"/>
      <c r="AM15" s="162"/>
      <c r="AN15" s="162"/>
      <c r="AO15" s="162"/>
      <c r="AP15" s="162"/>
    </row>
    <row r="16">
      <c r="A16" s="131" t="s">
        <v>400</v>
      </c>
      <c r="B16" s="132">
        <v>14.0</v>
      </c>
      <c r="C16" s="133"/>
      <c r="D16" s="103">
        <f t="shared" si="2"/>
        <v>0.08045977011</v>
      </c>
      <c r="E16" s="85"/>
      <c r="F16" s="85"/>
      <c r="G16" s="104"/>
      <c r="H16" s="117">
        <v>0.05</v>
      </c>
      <c r="I16" s="208">
        <f t="shared" si="20"/>
        <v>0.7</v>
      </c>
      <c r="J16" s="135">
        <f t="shared" si="11"/>
        <v>14.7</v>
      </c>
      <c r="K16" s="163"/>
      <c r="L16" s="116">
        <f t="shared" si="4"/>
        <v>0.7</v>
      </c>
      <c r="M16" s="117">
        <v>0.05</v>
      </c>
      <c r="N16" s="137">
        <f t="shared" si="21"/>
        <v>0.735</v>
      </c>
      <c r="O16" s="138">
        <f t="shared" si="6"/>
        <v>15.435</v>
      </c>
      <c r="P16" s="157">
        <f t="shared" si="25"/>
        <v>9.646875</v>
      </c>
      <c r="Q16" s="210">
        <v>0.05</v>
      </c>
      <c r="R16" s="211">
        <f t="shared" si="22"/>
        <v>0.77175</v>
      </c>
      <c r="S16" s="140">
        <f t="shared" si="8"/>
        <v>16.20675</v>
      </c>
      <c r="T16" s="141"/>
      <c r="U16" s="130">
        <v>10.0</v>
      </c>
      <c r="V16" s="55">
        <v>13.0</v>
      </c>
      <c r="W16" s="97">
        <f t="shared" ref="W16:X16" si="26">(U16/160)</f>
        <v>0.0625</v>
      </c>
      <c r="X16" s="97">
        <f t="shared" si="26"/>
        <v>0.08125</v>
      </c>
      <c r="Y16" s="97">
        <f t="shared" si="10"/>
        <v>-0.01875</v>
      </c>
      <c r="Z16" s="55">
        <v>10.0</v>
      </c>
      <c r="AA16" s="55">
        <v>10.0</v>
      </c>
      <c r="AB16" s="55"/>
      <c r="AC16" s="55">
        <v>10.0</v>
      </c>
      <c r="AD16" s="66"/>
      <c r="AE16" s="66"/>
    </row>
    <row r="17">
      <c r="A17" s="131" t="s">
        <v>408</v>
      </c>
      <c r="B17" s="132">
        <v>10.0</v>
      </c>
      <c r="C17" s="133"/>
      <c r="D17" s="103">
        <f t="shared" si="2"/>
        <v>0.05747126437</v>
      </c>
      <c r="E17" s="85"/>
      <c r="F17" s="85"/>
      <c r="G17" s="104"/>
      <c r="H17" s="117">
        <v>0.05</v>
      </c>
      <c r="I17" s="208">
        <f t="shared" si="20"/>
        <v>0.5</v>
      </c>
      <c r="J17" s="135">
        <f t="shared" si="11"/>
        <v>10.5</v>
      </c>
      <c r="K17" s="163"/>
      <c r="L17" s="116">
        <f t="shared" si="4"/>
        <v>0.5</v>
      </c>
      <c r="M17" s="117">
        <v>0.05</v>
      </c>
      <c r="N17" s="137">
        <f t="shared" si="21"/>
        <v>0.525</v>
      </c>
      <c r="O17" s="138"/>
      <c r="P17" s="157"/>
      <c r="Q17" s="210">
        <v>0.05</v>
      </c>
      <c r="R17" s="211">
        <f t="shared" si="22"/>
        <v>0</v>
      </c>
      <c r="S17" s="140">
        <f t="shared" si="8"/>
        <v>0</v>
      </c>
      <c r="T17" s="141"/>
      <c r="U17" s="130">
        <v>10.0</v>
      </c>
      <c r="V17" s="55">
        <v>10.0</v>
      </c>
      <c r="W17" s="97">
        <f t="shared" ref="W17:X17" si="27">(U17/160)</f>
        <v>0.0625</v>
      </c>
      <c r="X17" s="97">
        <f t="shared" si="27"/>
        <v>0.0625</v>
      </c>
      <c r="Y17" s="97">
        <f t="shared" si="10"/>
        <v>0</v>
      </c>
      <c r="Z17" s="55">
        <v>10.0</v>
      </c>
      <c r="AA17" s="55">
        <v>10.0</v>
      </c>
      <c r="AB17" s="55"/>
      <c r="AC17" s="55">
        <v>10.0</v>
      </c>
      <c r="AD17" s="66"/>
      <c r="AE17" s="66"/>
    </row>
    <row r="18">
      <c r="A18" s="145" t="s">
        <v>417</v>
      </c>
      <c r="B18" s="132">
        <v>155.0</v>
      </c>
      <c r="C18" s="146">
        <f>(B18/160*100)</f>
        <v>96.875</v>
      </c>
      <c r="D18" s="147">
        <f t="shared" si="2"/>
        <v>0.8908045977</v>
      </c>
      <c r="E18" s="110"/>
      <c r="F18" s="110"/>
      <c r="G18" s="148"/>
      <c r="H18" s="154">
        <v>0.05</v>
      </c>
      <c r="I18" s="212">
        <f t="shared" si="20"/>
        <v>7.75</v>
      </c>
      <c r="J18" s="151">
        <f t="shared" si="11"/>
        <v>162.75</v>
      </c>
      <c r="K18" s="152">
        <f>(J18/160*100)</f>
        <v>101.71875</v>
      </c>
      <c r="L18" s="153">
        <f t="shared" si="4"/>
        <v>7.75</v>
      </c>
      <c r="M18" s="154">
        <v>0.05</v>
      </c>
      <c r="N18" s="155">
        <f t="shared" si="21"/>
        <v>8.1375</v>
      </c>
      <c r="O18" s="156"/>
      <c r="P18" s="157"/>
      <c r="Q18" s="210">
        <v>0.05</v>
      </c>
      <c r="R18" s="211">
        <f t="shared" si="22"/>
        <v>0</v>
      </c>
      <c r="S18" s="159">
        <f t="shared" si="8"/>
        <v>0</v>
      </c>
      <c r="T18" s="160">
        <f>(S18/160*100)</f>
        <v>0</v>
      </c>
      <c r="U18" s="161">
        <v>160.0</v>
      </c>
      <c r="V18" s="115">
        <v>146.0</v>
      </c>
      <c r="W18" s="118">
        <f t="shared" ref="W18:X18" si="28">(U18/160)</f>
        <v>1</v>
      </c>
      <c r="X18" s="118">
        <f t="shared" si="28"/>
        <v>0.9125</v>
      </c>
      <c r="Y18" s="118">
        <f t="shared" si="10"/>
        <v>0.0875</v>
      </c>
      <c r="Z18" s="115">
        <v>131.0</v>
      </c>
      <c r="AA18" s="115">
        <v>131.0</v>
      </c>
      <c r="AB18" s="115"/>
      <c r="AC18" s="115">
        <v>160.0</v>
      </c>
      <c r="AD18" s="121"/>
      <c r="AE18" s="121"/>
      <c r="AF18" s="162"/>
      <c r="AG18" s="162"/>
      <c r="AH18" s="162"/>
      <c r="AI18" s="162"/>
      <c r="AJ18" s="162"/>
      <c r="AK18" s="162"/>
      <c r="AL18" s="162"/>
      <c r="AM18" s="162"/>
      <c r="AN18" s="162"/>
      <c r="AO18" s="162"/>
      <c r="AP18" s="162"/>
    </row>
    <row r="19">
      <c r="A19" s="131" t="s">
        <v>429</v>
      </c>
      <c r="B19" s="132">
        <v>5.0</v>
      </c>
      <c r="C19" s="133"/>
      <c r="D19" s="103">
        <f t="shared" si="2"/>
        <v>0.02873563218</v>
      </c>
      <c r="E19" s="85"/>
      <c r="F19" s="85"/>
      <c r="G19" s="104"/>
      <c r="H19" s="117">
        <v>0.05</v>
      </c>
      <c r="I19" s="208">
        <f t="shared" si="20"/>
        <v>0.25</v>
      </c>
      <c r="J19" s="135"/>
      <c r="K19" s="163"/>
      <c r="L19" s="116">
        <f t="shared" si="4"/>
        <v>-5</v>
      </c>
      <c r="M19" s="117">
        <v>0.05</v>
      </c>
      <c r="N19" s="137">
        <f t="shared" si="21"/>
        <v>0</v>
      </c>
      <c r="O19" s="138">
        <f t="shared" ref="O19:O23" si="30">(J19+N19)</f>
        <v>0</v>
      </c>
      <c r="P19" s="139"/>
      <c r="Q19" s="210">
        <v>0.05</v>
      </c>
      <c r="R19" s="211">
        <f t="shared" si="22"/>
        <v>0</v>
      </c>
      <c r="S19" s="140">
        <f t="shared" si="8"/>
        <v>0</v>
      </c>
      <c r="T19" s="141"/>
      <c r="U19" s="130">
        <v>0.0</v>
      </c>
      <c r="V19" s="55">
        <v>4.0</v>
      </c>
      <c r="W19" s="97">
        <f t="shared" ref="W19:X19" si="29">(U19/160)</f>
        <v>0</v>
      </c>
      <c r="X19" s="97">
        <f t="shared" si="29"/>
        <v>0.025</v>
      </c>
      <c r="Y19" s="97">
        <f t="shared" si="10"/>
        <v>-0.025</v>
      </c>
      <c r="Z19" s="55">
        <v>4.0</v>
      </c>
      <c r="AA19" s="55">
        <v>4.0</v>
      </c>
      <c r="AB19" s="55"/>
      <c r="AC19" s="55">
        <v>0.0</v>
      </c>
      <c r="AD19" s="66"/>
      <c r="AE19" s="66"/>
    </row>
    <row r="20">
      <c r="A20" s="131" t="s">
        <v>435</v>
      </c>
      <c r="B20" s="132">
        <v>7.0</v>
      </c>
      <c r="C20" s="133"/>
      <c r="D20" s="103">
        <f t="shared" si="2"/>
        <v>0.04022988506</v>
      </c>
      <c r="E20" s="85"/>
      <c r="F20" s="85"/>
      <c r="G20" s="104"/>
      <c r="H20" s="117">
        <v>0.05</v>
      </c>
      <c r="I20" s="208">
        <f t="shared" si="20"/>
        <v>0.35</v>
      </c>
      <c r="J20" s="135"/>
      <c r="K20" s="163"/>
      <c r="L20" s="116">
        <f t="shared" si="4"/>
        <v>-7</v>
      </c>
      <c r="M20" s="117">
        <v>0.05</v>
      </c>
      <c r="N20" s="137">
        <f t="shared" si="21"/>
        <v>0</v>
      </c>
      <c r="O20" s="138">
        <f t="shared" si="30"/>
        <v>0</v>
      </c>
      <c r="P20" s="139"/>
      <c r="Q20" s="210">
        <v>0.05</v>
      </c>
      <c r="R20" s="211">
        <f t="shared" si="22"/>
        <v>0</v>
      </c>
      <c r="S20" s="140">
        <f t="shared" si="8"/>
        <v>0</v>
      </c>
      <c r="T20" s="141"/>
      <c r="U20" s="130">
        <v>0.0</v>
      </c>
      <c r="V20" s="55">
        <v>3.0</v>
      </c>
      <c r="W20" s="97">
        <f t="shared" ref="W20:X20" si="31">(U20/160)</f>
        <v>0</v>
      </c>
      <c r="X20" s="97">
        <f t="shared" si="31"/>
        <v>0.01875</v>
      </c>
      <c r="Y20" s="97">
        <f t="shared" si="10"/>
        <v>-0.01875</v>
      </c>
      <c r="Z20" s="55">
        <v>4.0</v>
      </c>
      <c r="AA20" s="55">
        <v>4.0</v>
      </c>
      <c r="AB20" s="55"/>
      <c r="AC20" s="55">
        <v>0.0</v>
      </c>
      <c r="AD20" s="66"/>
      <c r="AE20" s="66"/>
    </row>
    <row r="21">
      <c r="A21" s="145" t="s">
        <v>442</v>
      </c>
      <c r="B21" s="132">
        <v>167.0</v>
      </c>
      <c r="C21" s="146">
        <f>(B21/160*100)</f>
        <v>104.375</v>
      </c>
      <c r="D21" s="147">
        <f t="shared" si="2"/>
        <v>0.9597701149</v>
      </c>
      <c r="E21" s="110"/>
      <c r="F21" s="110"/>
      <c r="G21" s="148"/>
      <c r="H21" s="154">
        <v>0.05</v>
      </c>
      <c r="I21" s="212">
        <f t="shared" si="20"/>
        <v>8.35</v>
      </c>
      <c r="J21" s="151"/>
      <c r="K21" s="152"/>
      <c r="L21" s="153">
        <f t="shared" si="4"/>
        <v>-167</v>
      </c>
      <c r="M21" s="154">
        <v>0.05</v>
      </c>
      <c r="N21" s="155">
        <f t="shared" si="21"/>
        <v>0</v>
      </c>
      <c r="O21" s="156">
        <f t="shared" si="30"/>
        <v>0</v>
      </c>
      <c r="P21" s="157">
        <f>(O21/160*100)</f>
        <v>0</v>
      </c>
      <c r="Q21" s="210">
        <v>0.05</v>
      </c>
      <c r="R21" s="211">
        <f t="shared" si="22"/>
        <v>0</v>
      </c>
      <c r="S21" s="159">
        <f t="shared" si="8"/>
        <v>0</v>
      </c>
      <c r="T21" s="160">
        <f>(S21/160*100)</f>
        <v>0</v>
      </c>
      <c r="U21" s="161">
        <v>0.0</v>
      </c>
      <c r="V21" s="115">
        <v>153.0</v>
      </c>
      <c r="W21" s="118">
        <f t="shared" ref="W21:X21" si="32">(U21/160)</f>
        <v>0</v>
      </c>
      <c r="X21" s="118">
        <f t="shared" si="32"/>
        <v>0.95625</v>
      </c>
      <c r="Y21" s="118">
        <f t="shared" si="10"/>
        <v>-0.95625</v>
      </c>
      <c r="Z21" s="115">
        <v>4.0</v>
      </c>
      <c r="AA21" s="115">
        <v>4.0</v>
      </c>
      <c r="AB21" s="115"/>
      <c r="AC21" s="115">
        <v>0.0</v>
      </c>
      <c r="AD21" s="121"/>
      <c r="AE21" s="121"/>
      <c r="AF21" s="162"/>
      <c r="AG21" s="162"/>
      <c r="AH21" s="162"/>
      <c r="AI21" s="162"/>
      <c r="AJ21" s="162"/>
      <c r="AK21" s="162"/>
      <c r="AL21" s="162"/>
      <c r="AM21" s="162"/>
      <c r="AN21" s="162"/>
      <c r="AO21" s="162"/>
      <c r="AP21" s="162"/>
    </row>
    <row r="22">
      <c r="A22" s="131" t="s">
        <v>445</v>
      </c>
      <c r="B22" s="132">
        <v>2.0</v>
      </c>
      <c r="C22" s="133"/>
      <c r="D22" s="103">
        <f t="shared" si="2"/>
        <v>0.01149425287</v>
      </c>
      <c r="E22" s="85"/>
      <c r="F22" s="85"/>
      <c r="G22" s="104"/>
      <c r="H22" s="117">
        <v>0.05</v>
      </c>
      <c r="I22" s="208">
        <f t="shared" si="20"/>
        <v>0.1</v>
      </c>
      <c r="J22" s="135"/>
      <c r="K22" s="163"/>
      <c r="L22" s="116">
        <f t="shared" si="4"/>
        <v>-2</v>
      </c>
      <c r="M22" s="117">
        <v>0.05</v>
      </c>
      <c r="N22" s="137">
        <f t="shared" si="21"/>
        <v>0</v>
      </c>
      <c r="O22" s="138">
        <f t="shared" si="30"/>
        <v>0</v>
      </c>
      <c r="P22" s="139"/>
      <c r="Q22" s="210">
        <v>0.05</v>
      </c>
      <c r="R22" s="211">
        <f t="shared" si="22"/>
        <v>0</v>
      </c>
      <c r="S22" s="140">
        <f t="shared" si="8"/>
        <v>0</v>
      </c>
      <c r="T22" s="141"/>
      <c r="U22" s="130">
        <v>0.0</v>
      </c>
      <c r="V22" s="55">
        <v>7.0</v>
      </c>
      <c r="W22" s="97">
        <f t="shared" ref="W22:X22" si="33">(U22/160)</f>
        <v>0</v>
      </c>
      <c r="X22" s="97">
        <f t="shared" si="33"/>
        <v>0.04375</v>
      </c>
      <c r="Y22" s="97">
        <f t="shared" si="10"/>
        <v>-0.04375</v>
      </c>
      <c r="Z22" s="55">
        <v>4.0</v>
      </c>
      <c r="AA22" s="55">
        <v>4.0</v>
      </c>
      <c r="AB22" s="55"/>
      <c r="AC22" s="55">
        <v>0.0</v>
      </c>
      <c r="AD22" s="66"/>
      <c r="AE22" s="66"/>
    </row>
    <row r="23">
      <c r="A23" s="230" t="s">
        <v>449</v>
      </c>
      <c r="B23" s="231">
        <v>5.0</v>
      </c>
      <c r="C23" s="232"/>
      <c r="D23" s="103">
        <f t="shared" si="2"/>
        <v>0.02873563218</v>
      </c>
      <c r="E23" s="85"/>
      <c r="F23" s="85"/>
      <c r="G23" s="104"/>
      <c r="H23" s="117">
        <v>0.05</v>
      </c>
      <c r="I23" s="233">
        <f t="shared" si="20"/>
        <v>0.25</v>
      </c>
      <c r="J23" s="234"/>
      <c r="K23" s="235"/>
      <c r="L23" s="116">
        <f t="shared" si="4"/>
        <v>-5</v>
      </c>
      <c r="M23" s="117">
        <v>0.05</v>
      </c>
      <c r="N23" s="236">
        <f t="shared" si="21"/>
        <v>0</v>
      </c>
      <c r="O23" s="237">
        <f t="shared" si="30"/>
        <v>0</v>
      </c>
      <c r="P23" s="238"/>
      <c r="Q23" s="210">
        <v>0.0500000000000001</v>
      </c>
      <c r="R23" s="211">
        <f t="shared" si="22"/>
        <v>0</v>
      </c>
      <c r="S23" s="240">
        <f t="shared" si="8"/>
        <v>0</v>
      </c>
      <c r="T23" s="242"/>
      <c r="U23" s="130">
        <v>0.0</v>
      </c>
      <c r="V23" s="55">
        <v>1.0</v>
      </c>
      <c r="W23" s="97">
        <f t="shared" ref="W23:X23" si="34">(U23/160)</f>
        <v>0</v>
      </c>
      <c r="X23" s="97">
        <f t="shared" si="34"/>
        <v>0.00625</v>
      </c>
      <c r="Y23" s="97">
        <f t="shared" si="10"/>
        <v>-0.00625</v>
      </c>
      <c r="Z23" s="55">
        <v>3.0</v>
      </c>
      <c r="AA23" s="55">
        <v>3.0</v>
      </c>
      <c r="AB23" s="55"/>
      <c r="AC23" s="55">
        <v>0.0</v>
      </c>
      <c r="AD23" s="66"/>
      <c r="AE23" s="66"/>
    </row>
    <row r="24">
      <c r="G24" s="9"/>
      <c r="I24" s="244"/>
      <c r="J24" s="244"/>
      <c r="K24" s="244"/>
    </row>
    <row r="25">
      <c r="A25" s="168" t="s">
        <v>455</v>
      </c>
      <c r="B25" s="37"/>
      <c r="C25" s="37"/>
      <c r="D25" s="37"/>
      <c r="E25" s="37"/>
      <c r="F25" s="37"/>
      <c r="G25" s="169"/>
      <c r="H25" s="40"/>
      <c r="I25" s="244"/>
      <c r="J25" s="244"/>
      <c r="K25" s="244"/>
      <c r="U25" s="40"/>
      <c r="V25" s="40"/>
      <c r="W25" s="40"/>
      <c r="X25" s="40"/>
      <c r="Y25" s="40"/>
      <c r="Z25" s="40"/>
      <c r="AA25" s="40"/>
      <c r="AB25" s="40"/>
    </row>
    <row r="26">
      <c r="A26" s="44"/>
      <c r="B26" s="44" t="s">
        <v>462</v>
      </c>
      <c r="C26" s="44"/>
      <c r="D26" s="47" t="s">
        <v>75</v>
      </c>
      <c r="E26" s="44" t="s">
        <v>64</v>
      </c>
      <c r="F26" s="47" t="s">
        <v>463</v>
      </c>
      <c r="G26" s="52"/>
      <c r="H26" s="40"/>
      <c r="I26" s="244"/>
      <c r="J26" s="244"/>
      <c r="K26" s="244"/>
      <c r="U26" s="40"/>
      <c r="V26" s="40"/>
      <c r="W26" s="40"/>
      <c r="X26" s="40"/>
      <c r="Y26" s="40"/>
      <c r="Z26" s="40"/>
      <c r="AA26" s="40"/>
      <c r="AB26" s="40"/>
    </row>
    <row r="27">
      <c r="A27" s="170" t="s">
        <v>466</v>
      </c>
      <c r="B27" s="170">
        <v>2.0</v>
      </c>
      <c r="C27" s="170"/>
      <c r="D27" s="171">
        <f t="shared" ref="D27:D46" si="35">(B27/160)</f>
        <v>0.0125</v>
      </c>
      <c r="E27" s="85"/>
      <c r="F27" s="85"/>
      <c r="G27" s="86"/>
      <c r="H27" s="250"/>
      <c r="I27" s="244"/>
      <c r="J27" s="244"/>
      <c r="K27" s="244"/>
      <c r="U27" s="40"/>
      <c r="V27" s="40"/>
      <c r="W27" s="40"/>
      <c r="X27" s="40"/>
      <c r="Y27" s="40"/>
      <c r="Z27" s="40"/>
      <c r="AA27" s="40"/>
      <c r="AB27" s="40"/>
    </row>
    <row r="28">
      <c r="A28" s="170" t="s">
        <v>476</v>
      </c>
      <c r="B28" s="170">
        <v>14.0</v>
      </c>
      <c r="C28" s="170"/>
      <c r="D28" s="171">
        <f t="shared" si="35"/>
        <v>0.0875</v>
      </c>
      <c r="E28" s="85"/>
      <c r="F28" s="85"/>
      <c r="G28" s="86"/>
      <c r="H28" s="250"/>
      <c r="I28" s="244"/>
      <c r="J28" s="244"/>
      <c r="K28" s="244"/>
      <c r="U28" s="40"/>
      <c r="V28" s="40"/>
      <c r="W28" s="40"/>
      <c r="X28" s="40"/>
      <c r="Y28" s="40"/>
      <c r="Z28" s="40"/>
      <c r="AA28" s="40"/>
      <c r="AB28" s="40"/>
    </row>
    <row r="29">
      <c r="A29" s="172" t="s">
        <v>482</v>
      </c>
      <c r="B29" s="172">
        <v>16.0</v>
      </c>
      <c r="C29" s="172"/>
      <c r="D29" s="173">
        <f t="shared" si="35"/>
        <v>0.1</v>
      </c>
      <c r="E29" s="110"/>
      <c r="F29" s="110"/>
      <c r="G29" s="86"/>
      <c r="H29" s="250"/>
      <c r="I29" s="244"/>
      <c r="J29" s="244"/>
      <c r="K29" s="244"/>
      <c r="U29" s="40"/>
      <c r="V29" s="40"/>
      <c r="W29" s="40"/>
      <c r="X29" s="40"/>
      <c r="Y29" s="40"/>
      <c r="Z29" s="40"/>
      <c r="AA29" s="40"/>
      <c r="AB29" s="40"/>
    </row>
    <row r="30">
      <c r="A30" s="170" t="s">
        <v>486</v>
      </c>
      <c r="B30" s="170">
        <v>20.0</v>
      </c>
      <c r="C30" s="170"/>
      <c r="D30" s="171">
        <f t="shared" si="35"/>
        <v>0.125</v>
      </c>
      <c r="E30" s="85"/>
      <c r="F30" s="85"/>
      <c r="G30" s="86"/>
      <c r="H30" s="250"/>
      <c r="I30" s="244"/>
      <c r="J30" s="244"/>
      <c r="K30" s="244"/>
      <c r="U30" s="40"/>
      <c r="V30" s="40"/>
      <c r="W30" s="40"/>
      <c r="X30" s="40"/>
      <c r="Y30" s="40"/>
      <c r="Z30" s="40"/>
      <c r="AA30" s="40"/>
      <c r="AB30" s="40"/>
    </row>
    <row r="31">
      <c r="A31" s="170" t="s">
        <v>490</v>
      </c>
      <c r="B31" s="170">
        <v>22.0</v>
      </c>
      <c r="C31" s="170"/>
      <c r="D31" s="171">
        <f t="shared" si="35"/>
        <v>0.1375</v>
      </c>
      <c r="E31" s="85"/>
      <c r="F31" s="85"/>
      <c r="G31" s="86"/>
      <c r="H31" s="250"/>
      <c r="I31" s="244"/>
      <c r="J31" s="244"/>
      <c r="K31" s="244"/>
      <c r="U31" s="40"/>
      <c r="V31" s="40"/>
      <c r="W31" s="40"/>
      <c r="X31" s="40"/>
      <c r="Y31" s="40"/>
      <c r="Z31" s="40"/>
      <c r="AA31" s="40"/>
      <c r="AB31" s="40"/>
    </row>
    <row r="32">
      <c r="A32" s="172" t="s">
        <v>493</v>
      </c>
      <c r="B32" s="172">
        <v>58.0</v>
      </c>
      <c r="C32" s="172"/>
      <c r="D32" s="173">
        <f t="shared" si="35"/>
        <v>0.3625</v>
      </c>
      <c r="E32" s="110"/>
      <c r="F32" s="110"/>
      <c r="G32" s="86"/>
      <c r="H32" s="250"/>
      <c r="I32" s="244"/>
      <c r="J32" s="244"/>
      <c r="K32" s="244"/>
      <c r="U32" s="40"/>
      <c r="V32" s="40"/>
      <c r="W32" s="40"/>
      <c r="X32" s="40"/>
      <c r="Y32" s="40"/>
      <c r="Z32" s="40"/>
      <c r="AA32" s="40"/>
      <c r="AB32" s="40"/>
    </row>
    <row r="33">
      <c r="A33" s="170" t="s">
        <v>495</v>
      </c>
      <c r="B33" s="170">
        <v>18.0</v>
      </c>
      <c r="C33" s="170"/>
      <c r="D33" s="171">
        <f t="shared" si="35"/>
        <v>0.1125</v>
      </c>
      <c r="E33" s="85"/>
      <c r="F33" s="85"/>
      <c r="G33" s="86"/>
      <c r="H33" s="250"/>
      <c r="I33" s="244"/>
      <c r="J33" s="244"/>
      <c r="K33" s="244"/>
      <c r="U33" s="40"/>
      <c r="V33" s="40"/>
      <c r="W33" s="40"/>
      <c r="X33" s="40"/>
      <c r="Y33" s="40"/>
      <c r="Z33" s="40"/>
      <c r="AA33" s="40"/>
      <c r="AB33" s="40"/>
    </row>
    <row r="34">
      <c r="A34" s="170" t="s">
        <v>498</v>
      </c>
      <c r="B34" s="170">
        <v>17.0</v>
      </c>
      <c r="C34" s="170"/>
      <c r="D34" s="171">
        <f t="shared" si="35"/>
        <v>0.10625</v>
      </c>
      <c r="E34" s="85"/>
      <c r="F34" s="85"/>
      <c r="G34" s="86"/>
      <c r="H34" s="250"/>
      <c r="I34" s="244"/>
      <c r="J34" s="244"/>
      <c r="K34" s="244"/>
      <c r="U34" s="40"/>
      <c r="V34" s="40"/>
      <c r="W34" s="40"/>
      <c r="X34" s="40"/>
      <c r="Y34" s="40"/>
      <c r="Z34" s="40"/>
      <c r="AA34" s="40"/>
      <c r="AB34" s="40"/>
    </row>
    <row r="35">
      <c r="A35" s="174" t="s">
        <v>501</v>
      </c>
      <c r="B35" s="174">
        <v>93.0</v>
      </c>
      <c r="C35" s="174"/>
      <c r="D35" s="175">
        <f t="shared" si="35"/>
        <v>0.58125</v>
      </c>
      <c r="E35" s="110"/>
      <c r="F35" s="110"/>
      <c r="G35" s="86"/>
      <c r="H35" s="250"/>
      <c r="I35" s="244"/>
      <c r="J35" s="244"/>
      <c r="K35" s="244"/>
      <c r="U35" s="40"/>
      <c r="V35" s="40"/>
      <c r="W35" s="40"/>
      <c r="X35" s="40"/>
      <c r="Y35" s="40"/>
      <c r="Z35" s="40"/>
      <c r="AA35" s="40"/>
      <c r="AB35" s="40"/>
    </row>
    <row r="36">
      <c r="A36" s="170" t="s">
        <v>504</v>
      </c>
      <c r="B36" s="170">
        <v>18.0</v>
      </c>
      <c r="C36" s="170"/>
      <c r="D36" s="171">
        <f t="shared" si="35"/>
        <v>0.1125</v>
      </c>
      <c r="E36" s="85"/>
      <c r="F36" s="85"/>
      <c r="G36" s="86"/>
      <c r="H36" s="250"/>
      <c r="I36" s="244"/>
      <c r="J36" s="244"/>
      <c r="K36" s="244"/>
      <c r="U36" s="40"/>
      <c r="V36" s="40"/>
      <c r="W36" s="40"/>
      <c r="X36" s="40"/>
      <c r="Y36" s="40"/>
      <c r="Z36" s="40"/>
      <c r="AA36" s="40"/>
      <c r="AB36" s="40"/>
    </row>
    <row r="37">
      <c r="A37" s="170" t="s">
        <v>507</v>
      </c>
      <c r="B37" s="170">
        <v>10.0</v>
      </c>
      <c r="C37" s="170"/>
      <c r="D37" s="171">
        <f t="shared" si="35"/>
        <v>0.0625</v>
      </c>
      <c r="E37" s="85"/>
      <c r="F37" s="85"/>
      <c r="G37" s="86"/>
      <c r="H37" s="250"/>
      <c r="I37" s="244"/>
      <c r="J37" s="244"/>
      <c r="K37" s="244"/>
      <c r="U37" s="40"/>
      <c r="V37" s="40"/>
      <c r="W37" s="40"/>
      <c r="X37" s="40"/>
      <c r="Y37" s="40"/>
      <c r="Z37" s="40"/>
      <c r="AA37" s="40"/>
      <c r="AB37" s="40"/>
    </row>
    <row r="38">
      <c r="A38" s="172" t="s">
        <v>510</v>
      </c>
      <c r="B38" s="172">
        <v>121.0</v>
      </c>
      <c r="C38" s="172"/>
      <c r="D38" s="173">
        <f t="shared" si="35"/>
        <v>0.75625</v>
      </c>
      <c r="E38" s="110"/>
      <c r="F38" s="110"/>
      <c r="G38" s="86"/>
      <c r="H38" s="250"/>
      <c r="I38" s="244"/>
      <c r="J38" s="244"/>
      <c r="K38" s="244"/>
      <c r="U38" s="40"/>
      <c r="V38" s="40"/>
      <c r="W38" s="40"/>
      <c r="X38" s="40"/>
      <c r="Y38" s="40"/>
      <c r="Z38" s="40"/>
      <c r="AA38" s="40"/>
      <c r="AB38" s="40"/>
    </row>
    <row r="39">
      <c r="A39" s="170" t="s">
        <v>513</v>
      </c>
      <c r="B39" s="170">
        <v>15.0</v>
      </c>
      <c r="C39" s="170"/>
      <c r="D39" s="171">
        <f t="shared" si="35"/>
        <v>0.09375</v>
      </c>
      <c r="E39" s="85"/>
      <c r="F39" s="85"/>
      <c r="G39" s="86"/>
      <c r="H39" s="250"/>
      <c r="I39" s="244"/>
      <c r="J39" s="244"/>
      <c r="K39" s="244"/>
      <c r="U39" s="40"/>
      <c r="V39" s="40"/>
      <c r="W39" s="40"/>
      <c r="X39" s="40"/>
      <c r="Y39" s="40"/>
      <c r="Z39" s="40"/>
      <c r="AA39" s="40"/>
      <c r="AB39" s="40"/>
    </row>
    <row r="40">
      <c r="A40" s="170" t="s">
        <v>516</v>
      </c>
      <c r="B40" s="170">
        <v>8.0</v>
      </c>
      <c r="C40" s="170"/>
      <c r="D40" s="171">
        <f t="shared" si="35"/>
        <v>0.05</v>
      </c>
      <c r="E40" s="85"/>
      <c r="F40" s="85"/>
      <c r="G40" s="86"/>
      <c r="H40" s="250"/>
      <c r="I40" s="244"/>
      <c r="J40" s="244"/>
      <c r="K40" s="244"/>
      <c r="U40" s="40"/>
      <c r="V40" s="40"/>
      <c r="W40" s="40"/>
      <c r="X40" s="40"/>
      <c r="Y40" s="40"/>
      <c r="Z40" s="40"/>
      <c r="AA40" s="40"/>
      <c r="AB40" s="40"/>
    </row>
    <row r="41">
      <c r="A41" s="172" t="s">
        <v>517</v>
      </c>
      <c r="B41" s="172">
        <v>144.0</v>
      </c>
      <c r="C41" s="172"/>
      <c r="D41" s="173">
        <f t="shared" si="35"/>
        <v>0.9</v>
      </c>
      <c r="E41" s="110"/>
      <c r="F41" s="110"/>
      <c r="G41" s="86"/>
      <c r="H41" s="250"/>
      <c r="I41" s="244"/>
      <c r="J41" s="244"/>
      <c r="K41" s="244"/>
      <c r="U41" s="40"/>
      <c r="V41" s="40"/>
      <c r="W41" s="40"/>
      <c r="X41" s="40"/>
      <c r="Y41" s="40"/>
      <c r="Z41" s="40"/>
      <c r="AA41" s="40"/>
      <c r="AB41" s="40"/>
    </row>
    <row r="42">
      <c r="A42" s="170" t="s">
        <v>520</v>
      </c>
      <c r="B42" s="170">
        <v>3.0</v>
      </c>
      <c r="C42" s="170"/>
      <c r="D42" s="171">
        <f t="shared" si="35"/>
        <v>0.01875</v>
      </c>
      <c r="E42" s="85"/>
      <c r="F42" s="85"/>
      <c r="G42" s="86"/>
      <c r="H42" s="250"/>
      <c r="I42" s="244"/>
      <c r="J42" s="244"/>
      <c r="K42" s="244"/>
      <c r="U42" s="40"/>
      <c r="V42" s="40"/>
      <c r="W42" s="40"/>
      <c r="X42" s="40"/>
      <c r="Y42" s="40"/>
      <c r="Z42" s="40"/>
      <c r="AA42" s="40"/>
      <c r="AB42" s="40"/>
    </row>
    <row r="43">
      <c r="A43" s="170" t="s">
        <v>524</v>
      </c>
      <c r="B43" s="170">
        <v>5.0</v>
      </c>
      <c r="C43" s="170"/>
      <c r="D43" s="171">
        <f t="shared" si="35"/>
        <v>0.03125</v>
      </c>
      <c r="E43" s="85"/>
      <c r="F43" s="85"/>
      <c r="G43" s="86"/>
      <c r="H43" s="250"/>
      <c r="I43" s="244"/>
      <c r="J43" s="244"/>
      <c r="K43" s="244"/>
      <c r="U43" s="40"/>
      <c r="V43" s="40"/>
      <c r="W43" s="40"/>
      <c r="X43" s="40"/>
      <c r="Y43" s="40"/>
      <c r="Z43" s="40"/>
      <c r="AA43" s="40"/>
      <c r="AB43" s="40"/>
    </row>
    <row r="44">
      <c r="A44" s="172" t="s">
        <v>527</v>
      </c>
      <c r="B44" s="172">
        <v>152.0</v>
      </c>
      <c r="C44" s="172"/>
      <c r="D44" s="173">
        <f t="shared" si="35"/>
        <v>0.95</v>
      </c>
      <c r="E44" s="110"/>
      <c r="F44" s="110"/>
      <c r="G44" s="86"/>
      <c r="H44" s="250"/>
      <c r="I44" s="244"/>
      <c r="J44" s="244"/>
      <c r="K44" s="244"/>
      <c r="U44" s="40"/>
      <c r="V44" s="40"/>
      <c r="W44" s="40"/>
      <c r="X44" s="40"/>
      <c r="Y44" s="40"/>
      <c r="Z44" s="40"/>
      <c r="AA44" s="40"/>
      <c r="AB44" s="40"/>
    </row>
    <row r="45">
      <c r="A45" s="170" t="s">
        <v>529</v>
      </c>
      <c r="B45" s="170">
        <v>4.0</v>
      </c>
      <c r="C45" s="170"/>
      <c r="D45" s="171">
        <f t="shared" si="35"/>
        <v>0.025</v>
      </c>
      <c r="E45" s="85"/>
      <c r="F45" s="85"/>
      <c r="G45" s="86"/>
      <c r="H45" s="250"/>
      <c r="I45" s="244"/>
      <c r="J45" s="244"/>
      <c r="K45" s="244"/>
      <c r="U45" s="40"/>
      <c r="V45" s="40"/>
      <c r="W45" s="40"/>
      <c r="X45" s="40"/>
      <c r="Y45" s="40"/>
      <c r="Z45" s="40"/>
      <c r="AA45" s="40"/>
      <c r="AB45" s="40"/>
    </row>
    <row r="46">
      <c r="A46" s="170" t="s">
        <v>532</v>
      </c>
      <c r="B46" s="170">
        <v>4.0</v>
      </c>
      <c r="C46" s="170"/>
      <c r="D46" s="171">
        <f t="shared" si="35"/>
        <v>0.025</v>
      </c>
      <c r="E46" s="85"/>
      <c r="F46" s="85"/>
      <c r="G46" s="86"/>
      <c r="H46" s="250"/>
      <c r="I46" s="244"/>
      <c r="J46" s="244"/>
      <c r="K46" s="244"/>
      <c r="U46" s="40"/>
      <c r="V46" s="40"/>
      <c r="W46" s="40"/>
      <c r="X46" s="40"/>
      <c r="Y46" s="40"/>
      <c r="Z46" s="40"/>
      <c r="AA46" s="40"/>
      <c r="AB46" s="40"/>
    </row>
    <row r="47">
      <c r="G47" s="9"/>
      <c r="I47" s="244"/>
      <c r="J47" s="244"/>
      <c r="K47" s="244"/>
      <c r="U47" s="40"/>
      <c r="V47" s="40"/>
      <c r="W47" s="40"/>
      <c r="X47" s="40"/>
      <c r="Y47" s="40"/>
      <c r="Z47" s="40"/>
      <c r="AA47" s="40"/>
      <c r="AB47" s="40"/>
    </row>
    <row r="48">
      <c r="A48" s="186" t="s">
        <v>535</v>
      </c>
      <c r="B48" s="4"/>
      <c r="C48" s="4"/>
      <c r="D48" s="4"/>
      <c r="E48" s="4"/>
      <c r="F48" s="4"/>
      <c r="G48" s="5"/>
      <c r="H48" s="40"/>
      <c r="I48" s="244"/>
      <c r="J48" s="244"/>
      <c r="K48" s="244"/>
      <c r="U48" s="40"/>
      <c r="V48" s="40"/>
      <c r="W48" s="40"/>
      <c r="X48" s="40"/>
      <c r="Y48" s="40"/>
      <c r="Z48" s="40"/>
      <c r="AA48" s="40"/>
      <c r="AB48" s="40"/>
    </row>
    <row r="49">
      <c r="A49" s="189"/>
      <c r="B49" s="189" t="s">
        <v>57</v>
      </c>
      <c r="C49" s="189"/>
      <c r="D49" s="47" t="s">
        <v>75</v>
      </c>
      <c r="E49" s="189" t="s">
        <v>64</v>
      </c>
      <c r="F49" s="193" t="s">
        <v>67</v>
      </c>
      <c r="G49" s="195"/>
      <c r="H49" s="40"/>
      <c r="I49" s="244"/>
      <c r="J49" s="244"/>
      <c r="K49" s="244"/>
      <c r="U49" s="40"/>
      <c r="V49" s="40"/>
      <c r="W49" s="40"/>
      <c r="X49" s="40"/>
      <c r="Y49" s="40"/>
      <c r="Z49" s="40"/>
      <c r="AA49" s="40"/>
      <c r="AB49" s="40"/>
    </row>
    <row r="50">
      <c r="A50" s="196" t="s">
        <v>466</v>
      </c>
      <c r="B50" s="196">
        <v>1.0</v>
      </c>
      <c r="C50" s="196"/>
      <c r="D50" s="199">
        <f t="shared" ref="D50:D69" si="36">(B50/160)</f>
        <v>0.00625</v>
      </c>
      <c r="E50" s="85"/>
      <c r="F50" s="85"/>
      <c r="G50" s="86"/>
      <c r="H50" s="250"/>
      <c r="I50" s="244"/>
      <c r="J50" s="244"/>
      <c r="K50" s="244"/>
      <c r="U50" s="40"/>
      <c r="V50" s="40"/>
      <c r="W50" s="40"/>
      <c r="X50" s="40"/>
      <c r="Y50" s="40"/>
      <c r="Z50" s="40"/>
      <c r="AA50" s="40"/>
      <c r="AB50" s="40"/>
    </row>
    <row r="51">
      <c r="A51" s="196" t="s">
        <v>476</v>
      </c>
      <c r="B51" s="196">
        <v>4.0</v>
      </c>
      <c r="C51" s="196"/>
      <c r="D51" s="199">
        <f t="shared" si="36"/>
        <v>0.025</v>
      </c>
      <c r="E51" s="85"/>
      <c r="F51" s="85"/>
      <c r="G51" s="86"/>
      <c r="H51" s="250"/>
      <c r="I51" s="244"/>
      <c r="J51" s="244"/>
      <c r="K51" s="244"/>
      <c r="U51" s="40"/>
      <c r="V51" s="40"/>
      <c r="W51" s="40"/>
      <c r="X51" s="40"/>
      <c r="Y51" s="40"/>
      <c r="Z51" s="40"/>
      <c r="AA51" s="40"/>
      <c r="AB51" s="40"/>
    </row>
    <row r="52">
      <c r="A52" s="202" t="s">
        <v>482</v>
      </c>
      <c r="B52" s="202">
        <v>5.0</v>
      </c>
      <c r="C52" s="202"/>
      <c r="D52" s="204">
        <f t="shared" si="36"/>
        <v>0.03125</v>
      </c>
      <c r="E52" s="110"/>
      <c r="F52" s="110"/>
      <c r="G52" s="86"/>
      <c r="H52" s="250"/>
      <c r="I52" s="244"/>
      <c r="J52" s="244"/>
      <c r="K52" s="244"/>
      <c r="U52" s="40"/>
      <c r="V52" s="40"/>
      <c r="W52" s="40"/>
      <c r="X52" s="40"/>
      <c r="Y52" s="40"/>
      <c r="Z52" s="40"/>
      <c r="AA52" s="40"/>
      <c r="AB52" s="40"/>
    </row>
    <row r="53">
      <c r="A53" s="196" t="s">
        <v>486</v>
      </c>
      <c r="B53" s="196">
        <v>16.0</v>
      </c>
      <c r="C53" s="196"/>
      <c r="D53" s="199">
        <f t="shared" si="36"/>
        <v>0.1</v>
      </c>
      <c r="E53" s="85"/>
      <c r="F53" s="85"/>
      <c r="G53" s="86"/>
      <c r="H53" s="250"/>
      <c r="I53" s="244"/>
      <c r="J53" s="244"/>
      <c r="K53" s="244"/>
      <c r="U53" s="40"/>
      <c r="V53" s="40"/>
      <c r="W53" s="40"/>
      <c r="X53" s="40"/>
      <c r="Y53" s="40"/>
      <c r="Z53" s="40"/>
      <c r="AA53" s="40"/>
      <c r="AB53" s="40"/>
    </row>
    <row r="54">
      <c r="A54" s="196" t="s">
        <v>490</v>
      </c>
      <c r="B54" s="196">
        <v>11.0</v>
      </c>
      <c r="C54" s="196"/>
      <c r="D54" s="199">
        <f t="shared" si="36"/>
        <v>0.06875</v>
      </c>
      <c r="E54" s="85"/>
      <c r="F54" s="85"/>
      <c r="G54" s="86"/>
      <c r="H54" s="250"/>
      <c r="I54" s="244"/>
      <c r="J54" s="244"/>
      <c r="K54" s="244"/>
      <c r="U54" s="40"/>
      <c r="V54" s="40"/>
      <c r="W54" s="40"/>
      <c r="X54" s="40"/>
      <c r="Y54" s="40"/>
      <c r="Z54" s="40"/>
      <c r="AA54" s="40"/>
      <c r="AB54" s="40"/>
    </row>
    <row r="55">
      <c r="A55" s="202" t="s">
        <v>493</v>
      </c>
      <c r="B55" s="202">
        <v>32.0</v>
      </c>
      <c r="C55" s="202"/>
      <c r="D55" s="204">
        <f t="shared" si="36"/>
        <v>0.2</v>
      </c>
      <c r="E55" s="110"/>
      <c r="F55" s="110"/>
      <c r="G55" s="86"/>
      <c r="H55" s="250"/>
      <c r="I55" s="244"/>
      <c r="J55" s="244"/>
      <c r="K55" s="244"/>
      <c r="U55" s="40"/>
      <c r="V55" s="40"/>
      <c r="W55" s="40"/>
      <c r="X55" s="40"/>
      <c r="Y55" s="40"/>
      <c r="Z55" s="40"/>
      <c r="AA55" s="40"/>
      <c r="AB55" s="40"/>
    </row>
    <row r="56">
      <c r="A56" s="196" t="s">
        <v>495</v>
      </c>
      <c r="B56" s="196">
        <v>21.0</v>
      </c>
      <c r="C56" s="196"/>
      <c r="D56" s="199">
        <f t="shared" si="36"/>
        <v>0.13125</v>
      </c>
      <c r="E56" s="85"/>
      <c r="F56" s="85"/>
      <c r="G56" s="86"/>
      <c r="H56" s="250"/>
      <c r="I56" s="244"/>
      <c r="J56" s="244"/>
      <c r="K56" s="244"/>
      <c r="U56" s="40"/>
      <c r="V56" s="40"/>
      <c r="W56" s="40"/>
      <c r="X56" s="40"/>
      <c r="Y56" s="40"/>
      <c r="Z56" s="40"/>
      <c r="AA56" s="40"/>
      <c r="AB56" s="40"/>
    </row>
    <row r="57">
      <c r="A57" s="196" t="s">
        <v>498</v>
      </c>
      <c r="B57" s="196">
        <v>23.0</v>
      </c>
      <c r="C57" s="196"/>
      <c r="D57" s="199">
        <f t="shared" si="36"/>
        <v>0.14375</v>
      </c>
      <c r="E57" s="85"/>
      <c r="F57" s="85"/>
      <c r="G57" s="86"/>
      <c r="H57" s="250"/>
      <c r="I57" s="244"/>
      <c r="J57" s="244"/>
      <c r="K57" s="244"/>
      <c r="U57" s="40"/>
      <c r="V57" s="40"/>
      <c r="W57" s="40"/>
      <c r="X57" s="40"/>
      <c r="Y57" s="40"/>
      <c r="Z57" s="40"/>
      <c r="AA57" s="40"/>
      <c r="AB57" s="40"/>
    </row>
    <row r="58">
      <c r="A58" s="207" t="s">
        <v>501</v>
      </c>
      <c r="B58" s="207">
        <v>76.0</v>
      </c>
      <c r="C58" s="207"/>
      <c r="D58" s="209">
        <f t="shared" si="36"/>
        <v>0.475</v>
      </c>
      <c r="E58" s="110"/>
      <c r="F58" s="110"/>
      <c r="G58" s="86"/>
      <c r="H58" s="250"/>
      <c r="I58" s="244"/>
      <c r="J58" s="244"/>
      <c r="K58" s="244"/>
      <c r="U58" s="40"/>
      <c r="V58" s="40"/>
      <c r="W58" s="40"/>
      <c r="X58" s="40"/>
      <c r="Y58" s="40"/>
      <c r="Z58" s="40"/>
      <c r="AA58" s="40"/>
      <c r="AB58" s="40"/>
    </row>
    <row r="59">
      <c r="A59" s="196" t="s">
        <v>504</v>
      </c>
      <c r="B59" s="196">
        <v>21.0</v>
      </c>
      <c r="C59" s="196"/>
      <c r="D59" s="199">
        <f t="shared" si="36"/>
        <v>0.13125</v>
      </c>
      <c r="E59" s="85"/>
      <c r="F59" s="85"/>
      <c r="G59" s="86"/>
      <c r="H59" s="250"/>
      <c r="I59" s="244"/>
      <c r="J59" s="244"/>
      <c r="K59" s="244"/>
      <c r="U59" s="40"/>
      <c r="V59" s="40"/>
      <c r="W59" s="40"/>
      <c r="X59" s="40"/>
      <c r="Y59" s="40"/>
      <c r="Z59" s="40"/>
      <c r="AA59" s="40"/>
      <c r="AB59" s="40"/>
    </row>
    <row r="60">
      <c r="A60" s="196" t="s">
        <v>507</v>
      </c>
      <c r="B60" s="196">
        <v>13.0</v>
      </c>
      <c r="C60" s="196"/>
      <c r="D60" s="199">
        <f t="shared" si="36"/>
        <v>0.08125</v>
      </c>
      <c r="E60" s="85"/>
      <c r="F60" s="85"/>
      <c r="G60" s="86"/>
      <c r="H60" s="250"/>
      <c r="I60" s="244"/>
      <c r="J60" s="244"/>
      <c r="K60" s="244"/>
      <c r="U60" s="40"/>
      <c r="V60" s="40"/>
      <c r="W60" s="40"/>
      <c r="X60" s="40"/>
      <c r="Y60" s="40"/>
      <c r="Z60" s="40"/>
      <c r="AA60" s="40"/>
      <c r="AB60" s="40"/>
    </row>
    <row r="61">
      <c r="A61" s="202" t="s">
        <v>510</v>
      </c>
      <c r="B61" s="202">
        <v>110.0</v>
      </c>
      <c r="C61" s="202"/>
      <c r="D61" s="204">
        <f t="shared" si="36"/>
        <v>0.6875</v>
      </c>
      <c r="E61" s="110"/>
      <c r="F61" s="110"/>
      <c r="G61" s="86"/>
      <c r="H61" s="250"/>
      <c r="I61" s="244"/>
      <c r="J61" s="244"/>
      <c r="K61" s="244"/>
      <c r="U61" s="40"/>
      <c r="V61" s="40"/>
      <c r="W61" s="40"/>
      <c r="X61" s="40"/>
      <c r="Y61" s="40"/>
      <c r="Z61" s="40"/>
      <c r="AA61" s="40"/>
      <c r="AB61" s="40"/>
    </row>
    <row r="62">
      <c r="A62" s="196" t="s">
        <v>513</v>
      </c>
      <c r="B62" s="196">
        <v>11.0</v>
      </c>
      <c r="C62" s="196"/>
      <c r="D62" s="199">
        <f t="shared" si="36"/>
        <v>0.06875</v>
      </c>
      <c r="E62" s="85"/>
      <c r="F62" s="85"/>
      <c r="G62" s="86"/>
      <c r="H62" s="250"/>
      <c r="I62" s="244"/>
      <c r="J62" s="244"/>
      <c r="K62" s="244"/>
      <c r="U62" s="40"/>
      <c r="V62" s="40"/>
      <c r="W62" s="40"/>
      <c r="X62" s="40"/>
      <c r="Y62" s="40"/>
      <c r="Z62" s="40"/>
      <c r="AA62" s="40"/>
      <c r="AB62" s="40"/>
    </row>
    <row r="63">
      <c r="A63" s="196" t="s">
        <v>516</v>
      </c>
      <c r="B63" s="196">
        <v>12.0</v>
      </c>
      <c r="C63" s="196"/>
      <c r="D63" s="199">
        <f t="shared" si="36"/>
        <v>0.075</v>
      </c>
      <c r="E63" s="85"/>
      <c r="F63" s="85"/>
      <c r="G63" s="86"/>
      <c r="H63" s="250"/>
      <c r="I63" s="244"/>
      <c r="J63" s="244"/>
      <c r="K63" s="244"/>
      <c r="U63" s="40"/>
      <c r="V63" s="40"/>
      <c r="W63" s="40"/>
      <c r="X63" s="40"/>
      <c r="Y63" s="40"/>
      <c r="Z63" s="40"/>
      <c r="AA63" s="40"/>
      <c r="AB63" s="40"/>
    </row>
    <row r="64">
      <c r="A64" s="202" t="s">
        <v>517</v>
      </c>
      <c r="B64" s="202">
        <v>133.0</v>
      </c>
      <c r="C64" s="202"/>
      <c r="D64" s="204">
        <f t="shared" si="36"/>
        <v>0.83125</v>
      </c>
      <c r="E64" s="110"/>
      <c r="F64" s="110"/>
      <c r="G64" s="86"/>
      <c r="H64" s="250"/>
      <c r="I64" s="244"/>
      <c r="J64" s="244"/>
      <c r="K64" s="244"/>
      <c r="U64" s="40"/>
      <c r="V64" s="40"/>
      <c r="W64" s="40"/>
      <c r="X64" s="40"/>
      <c r="Y64" s="40"/>
      <c r="Z64" s="40"/>
      <c r="AA64" s="40"/>
      <c r="AB64" s="40"/>
    </row>
    <row r="65">
      <c r="A65" s="196" t="s">
        <v>520</v>
      </c>
      <c r="B65" s="196">
        <v>10.0</v>
      </c>
      <c r="C65" s="196"/>
      <c r="D65" s="199">
        <f t="shared" si="36"/>
        <v>0.0625</v>
      </c>
      <c r="E65" s="85"/>
      <c r="F65" s="85"/>
      <c r="G65" s="86"/>
      <c r="H65" s="250"/>
      <c r="I65" s="244"/>
      <c r="J65" s="244"/>
      <c r="K65" s="244"/>
      <c r="U65" s="40"/>
      <c r="V65" s="40"/>
      <c r="W65" s="40"/>
      <c r="X65" s="40"/>
      <c r="Y65" s="40"/>
      <c r="Z65" s="40"/>
      <c r="AA65" s="40"/>
      <c r="AB65" s="40"/>
    </row>
    <row r="66">
      <c r="A66" s="196" t="s">
        <v>524</v>
      </c>
      <c r="B66" s="196">
        <v>10.0</v>
      </c>
      <c r="C66" s="196"/>
      <c r="D66" s="199">
        <f t="shared" si="36"/>
        <v>0.0625</v>
      </c>
      <c r="E66" s="85"/>
      <c r="F66" s="85"/>
      <c r="G66" s="86"/>
      <c r="H66" s="250"/>
      <c r="I66" s="244"/>
      <c r="J66" s="244"/>
      <c r="K66" s="244"/>
      <c r="U66" s="40"/>
      <c r="V66" s="40"/>
      <c r="W66" s="40"/>
      <c r="X66" s="40"/>
      <c r="Y66" s="40"/>
      <c r="Z66" s="40"/>
      <c r="AA66" s="40"/>
      <c r="AB66" s="40"/>
    </row>
    <row r="67">
      <c r="A67" s="202" t="s">
        <v>527</v>
      </c>
      <c r="B67" s="202">
        <v>153.0</v>
      </c>
      <c r="C67" s="202"/>
      <c r="D67" s="204">
        <f t="shared" si="36"/>
        <v>0.95625</v>
      </c>
      <c r="E67" s="110"/>
      <c r="F67" s="110"/>
      <c r="G67" s="86"/>
      <c r="H67" s="250"/>
      <c r="I67" s="244"/>
      <c r="J67" s="244"/>
      <c r="K67" s="244"/>
      <c r="U67" s="40"/>
      <c r="V67" s="40"/>
      <c r="W67" s="40"/>
      <c r="X67" s="40"/>
      <c r="Y67" s="40"/>
      <c r="Z67" s="40"/>
      <c r="AA67" s="40"/>
      <c r="AB67" s="40"/>
    </row>
    <row r="68">
      <c r="A68" s="196" t="s">
        <v>529</v>
      </c>
      <c r="B68" s="196">
        <v>5.0</v>
      </c>
      <c r="C68" s="196"/>
      <c r="D68" s="199">
        <f t="shared" si="36"/>
        <v>0.03125</v>
      </c>
      <c r="E68" s="85"/>
      <c r="F68" s="85"/>
      <c r="G68" s="86"/>
      <c r="H68" s="250"/>
      <c r="I68" s="244"/>
      <c r="J68" s="244"/>
      <c r="K68" s="244"/>
      <c r="U68" s="40"/>
      <c r="V68" s="40"/>
      <c r="W68" s="40"/>
      <c r="X68" s="40"/>
      <c r="Y68" s="40"/>
      <c r="Z68" s="40"/>
      <c r="AA68" s="40"/>
      <c r="AB68" s="40"/>
    </row>
    <row r="69">
      <c r="A69" s="196" t="s">
        <v>532</v>
      </c>
      <c r="B69" s="196">
        <v>2.0</v>
      </c>
      <c r="C69" s="196"/>
      <c r="D69" s="199">
        <f t="shared" si="36"/>
        <v>0.0125</v>
      </c>
      <c r="E69" s="85"/>
      <c r="F69" s="85"/>
      <c r="G69" s="86"/>
      <c r="H69" s="250"/>
      <c r="I69" s="244"/>
      <c r="J69" s="244"/>
      <c r="K69" s="244"/>
      <c r="U69" s="40"/>
      <c r="V69" s="40"/>
      <c r="W69" s="40"/>
      <c r="X69" s="40"/>
      <c r="Y69" s="40"/>
      <c r="Z69" s="40"/>
      <c r="AA69" s="40"/>
      <c r="AB69" s="40"/>
    </row>
    <row r="70">
      <c r="G70" s="9"/>
      <c r="I70" s="244"/>
      <c r="J70" s="244"/>
      <c r="K70" s="244"/>
      <c r="U70" s="40"/>
      <c r="V70" s="40"/>
      <c r="W70" s="40"/>
      <c r="X70" s="40"/>
      <c r="Y70" s="40"/>
      <c r="Z70" s="40"/>
      <c r="AA70" s="40"/>
      <c r="AB70" s="40"/>
    </row>
    <row r="71">
      <c r="A71" s="186" t="s">
        <v>536</v>
      </c>
      <c r="B71" s="4"/>
      <c r="C71" s="4"/>
      <c r="D71" s="4"/>
      <c r="E71" s="4"/>
      <c r="F71" s="4"/>
      <c r="G71" s="5"/>
      <c r="H71" s="40"/>
      <c r="I71" s="244"/>
      <c r="J71" s="244"/>
      <c r="K71" s="244"/>
      <c r="U71" s="40"/>
      <c r="V71" s="40"/>
      <c r="W71" s="40"/>
      <c r="X71" s="40"/>
      <c r="Y71" s="40"/>
      <c r="Z71" s="40"/>
      <c r="AA71" s="40"/>
      <c r="AB71" s="40"/>
    </row>
    <row r="72">
      <c r="A72" s="44"/>
      <c r="B72" s="44" t="s">
        <v>57</v>
      </c>
      <c r="C72" s="44"/>
      <c r="D72" s="47" t="s">
        <v>75</v>
      </c>
      <c r="E72" s="44" t="s">
        <v>64</v>
      </c>
      <c r="F72" s="47" t="s">
        <v>67</v>
      </c>
      <c r="G72" s="52"/>
      <c r="H72" s="40"/>
      <c r="I72" s="244"/>
      <c r="J72" s="244"/>
      <c r="K72" s="244"/>
      <c r="U72" s="40"/>
      <c r="V72" s="40"/>
      <c r="W72" s="40"/>
      <c r="X72" s="40"/>
      <c r="Y72" s="40"/>
      <c r="Z72" s="40"/>
      <c r="AA72" s="40"/>
      <c r="AB72" s="40"/>
    </row>
    <row r="73">
      <c r="A73" s="213" t="s">
        <v>466</v>
      </c>
      <c r="B73" s="213">
        <v>4.0</v>
      </c>
      <c r="C73" s="213"/>
      <c r="D73" s="214">
        <f t="shared" ref="D73:D92" si="37">(B73/76)</f>
        <v>0.05263157895</v>
      </c>
      <c r="E73" s="85"/>
      <c r="F73" s="85"/>
      <c r="G73" s="86"/>
      <c r="H73" s="250"/>
      <c r="I73" s="244"/>
      <c r="J73" s="244"/>
      <c r="K73" s="244"/>
      <c r="U73" s="40"/>
      <c r="V73" s="40"/>
      <c r="W73" s="40"/>
      <c r="X73" s="40"/>
      <c r="Y73" s="40"/>
      <c r="Z73" s="40"/>
      <c r="AA73" s="40"/>
      <c r="AB73" s="40"/>
    </row>
    <row r="74">
      <c r="A74" s="213" t="s">
        <v>476</v>
      </c>
      <c r="B74" s="213">
        <v>7.0</v>
      </c>
      <c r="C74" s="213"/>
      <c r="D74" s="214">
        <f t="shared" si="37"/>
        <v>0.09210526316</v>
      </c>
      <c r="E74" s="85"/>
      <c r="F74" s="85"/>
      <c r="G74" s="86"/>
      <c r="H74" s="250"/>
      <c r="I74" s="244"/>
      <c r="J74" s="244"/>
      <c r="K74" s="244"/>
      <c r="U74" s="40"/>
      <c r="V74" s="40"/>
      <c r="W74" s="40"/>
      <c r="X74" s="40"/>
      <c r="Y74" s="40"/>
      <c r="Z74" s="40"/>
      <c r="AA74" s="40"/>
      <c r="AB74" s="40"/>
    </row>
    <row r="75">
      <c r="A75" s="215" t="s">
        <v>482</v>
      </c>
      <c r="B75" s="215">
        <v>11.0</v>
      </c>
      <c r="C75" s="215"/>
      <c r="D75" s="216">
        <f t="shared" si="37"/>
        <v>0.1447368421</v>
      </c>
      <c r="E75" s="110"/>
      <c r="F75" s="110"/>
      <c r="G75" s="86"/>
      <c r="H75" s="250"/>
      <c r="I75" s="244"/>
      <c r="J75" s="244"/>
      <c r="K75" s="244"/>
      <c r="U75" s="40"/>
      <c r="V75" s="40"/>
      <c r="W75" s="40"/>
      <c r="X75" s="40"/>
      <c r="Y75" s="40"/>
      <c r="Z75" s="40"/>
      <c r="AA75" s="40"/>
      <c r="AB75" s="40"/>
    </row>
    <row r="76">
      <c r="A76" s="213" t="s">
        <v>486</v>
      </c>
      <c r="B76" s="213">
        <v>8.0</v>
      </c>
      <c r="C76" s="213"/>
      <c r="D76" s="214">
        <f t="shared" si="37"/>
        <v>0.1052631579</v>
      </c>
      <c r="E76" s="85"/>
      <c r="F76" s="85"/>
      <c r="G76" s="86"/>
      <c r="H76" s="250"/>
      <c r="I76" s="244"/>
      <c r="J76" s="244"/>
      <c r="K76" s="244"/>
      <c r="U76" s="40"/>
      <c r="V76" s="40"/>
      <c r="W76" s="40"/>
      <c r="X76" s="40"/>
      <c r="Y76" s="40"/>
      <c r="Z76" s="40"/>
      <c r="AA76" s="40"/>
      <c r="AB76" s="40"/>
    </row>
    <row r="77">
      <c r="A77" s="213" t="s">
        <v>490</v>
      </c>
      <c r="B77" s="213">
        <v>11.0</v>
      </c>
      <c r="C77" s="213"/>
      <c r="D77" s="214">
        <f t="shared" si="37"/>
        <v>0.1447368421</v>
      </c>
      <c r="E77" s="85"/>
      <c r="F77" s="85"/>
      <c r="G77" s="86"/>
      <c r="H77" s="250"/>
      <c r="I77" s="244"/>
      <c r="J77" s="244"/>
      <c r="K77" s="244"/>
      <c r="U77" s="40"/>
      <c r="V77" s="40"/>
      <c r="W77" s="40"/>
      <c r="X77" s="40"/>
      <c r="Y77" s="40"/>
      <c r="Z77" s="40"/>
      <c r="AA77" s="40"/>
      <c r="AB77" s="40"/>
    </row>
    <row r="78">
      <c r="A78" s="215" t="s">
        <v>493</v>
      </c>
      <c r="B78" s="215">
        <v>30.0</v>
      </c>
      <c r="C78" s="215"/>
      <c r="D78" s="216">
        <f t="shared" si="37"/>
        <v>0.3947368421</v>
      </c>
      <c r="E78" s="110"/>
      <c r="F78" s="110"/>
      <c r="G78" s="86"/>
      <c r="H78" s="250"/>
      <c r="I78" s="244"/>
      <c r="J78" s="244"/>
      <c r="K78" s="244"/>
      <c r="U78" s="40"/>
      <c r="V78" s="40"/>
      <c r="W78" s="40"/>
      <c r="X78" s="40"/>
      <c r="Y78" s="40"/>
      <c r="Z78" s="40"/>
      <c r="AA78" s="40"/>
      <c r="AB78" s="40"/>
    </row>
    <row r="79">
      <c r="A79" s="213" t="s">
        <v>495</v>
      </c>
      <c r="B79" s="213">
        <v>6.0</v>
      </c>
      <c r="C79" s="213"/>
      <c r="D79" s="214">
        <f t="shared" si="37"/>
        <v>0.07894736842</v>
      </c>
      <c r="E79" s="85"/>
      <c r="F79" s="85"/>
      <c r="G79" s="86"/>
      <c r="H79" s="250"/>
      <c r="I79" s="244"/>
      <c r="J79" s="244"/>
      <c r="K79" s="244"/>
      <c r="U79" s="40"/>
      <c r="V79" s="40"/>
      <c r="W79" s="40"/>
      <c r="X79" s="40"/>
      <c r="Y79" s="40"/>
      <c r="Z79" s="40"/>
      <c r="AA79" s="40"/>
      <c r="AB79" s="40"/>
    </row>
    <row r="80">
      <c r="A80" s="213" t="s">
        <v>498</v>
      </c>
      <c r="B80" s="213">
        <v>2.0</v>
      </c>
      <c r="C80" s="213"/>
      <c r="D80" s="214">
        <f t="shared" si="37"/>
        <v>0.02631578947</v>
      </c>
      <c r="E80" s="85"/>
      <c r="F80" s="85"/>
      <c r="G80" s="86"/>
      <c r="H80" s="250"/>
      <c r="I80" s="244"/>
      <c r="J80" s="244"/>
      <c r="K80" s="244"/>
      <c r="U80" s="40"/>
      <c r="V80" s="40"/>
      <c r="W80" s="40"/>
      <c r="X80" s="40"/>
      <c r="Y80" s="40"/>
      <c r="Z80" s="40"/>
      <c r="AA80" s="40"/>
      <c r="AB80" s="40"/>
    </row>
    <row r="81">
      <c r="A81" s="219" t="s">
        <v>501</v>
      </c>
      <c r="B81" s="219">
        <v>38.0</v>
      </c>
      <c r="C81" s="219"/>
      <c r="D81" s="220">
        <f t="shared" si="37"/>
        <v>0.5</v>
      </c>
      <c r="E81" s="110"/>
      <c r="F81" s="110"/>
      <c r="G81" s="86"/>
      <c r="H81" s="250"/>
      <c r="I81" s="244"/>
      <c r="J81" s="244"/>
      <c r="K81" s="244"/>
      <c r="U81" s="40"/>
      <c r="V81" s="40"/>
      <c r="W81" s="40"/>
      <c r="X81" s="40"/>
      <c r="Y81" s="40"/>
      <c r="Z81" s="40"/>
      <c r="AA81" s="40"/>
      <c r="AB81" s="40"/>
    </row>
    <row r="82">
      <c r="A82" s="213" t="s">
        <v>504</v>
      </c>
      <c r="B82" s="213">
        <v>13.0</v>
      </c>
      <c r="C82" s="213"/>
      <c r="D82" s="214">
        <f t="shared" si="37"/>
        <v>0.1710526316</v>
      </c>
      <c r="E82" s="85"/>
      <c r="F82" s="85"/>
      <c r="G82" s="86"/>
      <c r="H82" s="250"/>
      <c r="I82" s="244"/>
      <c r="J82" s="244"/>
      <c r="K82" s="244"/>
      <c r="U82" s="40"/>
      <c r="V82" s="40"/>
      <c r="W82" s="40"/>
      <c r="X82" s="40"/>
      <c r="Y82" s="40"/>
      <c r="Z82" s="40"/>
      <c r="AA82" s="40"/>
      <c r="AB82" s="40"/>
    </row>
    <row r="83">
      <c r="A83" s="213" t="s">
        <v>507</v>
      </c>
      <c r="B83" s="213">
        <v>3.0</v>
      </c>
      <c r="C83" s="213"/>
      <c r="D83" s="214">
        <f t="shared" si="37"/>
        <v>0.03947368421</v>
      </c>
      <c r="E83" s="85"/>
      <c r="F83" s="85"/>
      <c r="G83" s="86"/>
      <c r="H83" s="250"/>
      <c r="I83" s="244"/>
      <c r="J83" s="244"/>
      <c r="K83" s="244"/>
      <c r="U83" s="40"/>
      <c r="V83" s="40"/>
      <c r="W83" s="40"/>
      <c r="X83" s="40"/>
      <c r="Y83" s="40"/>
      <c r="Z83" s="40"/>
      <c r="AA83" s="40"/>
      <c r="AB83" s="40"/>
    </row>
    <row r="84">
      <c r="A84" s="215" t="s">
        <v>510</v>
      </c>
      <c r="B84" s="215">
        <v>54.0</v>
      </c>
      <c r="C84" s="215"/>
      <c r="D84" s="216">
        <f t="shared" si="37"/>
        <v>0.7105263158</v>
      </c>
      <c r="E84" s="110"/>
      <c r="F84" s="110"/>
      <c r="G84" s="86"/>
      <c r="H84" s="250"/>
      <c r="I84" s="244"/>
      <c r="J84" s="244"/>
      <c r="K84" s="244"/>
      <c r="U84" s="40"/>
      <c r="V84" s="40"/>
      <c r="W84" s="40"/>
      <c r="X84" s="40"/>
      <c r="Y84" s="40"/>
      <c r="Z84" s="40"/>
      <c r="AA84" s="40"/>
      <c r="AB84" s="40"/>
    </row>
    <row r="85">
      <c r="A85" s="213" t="s">
        <v>513</v>
      </c>
      <c r="B85" s="213">
        <v>2.0</v>
      </c>
      <c r="C85" s="213"/>
      <c r="D85" s="214">
        <f t="shared" si="37"/>
        <v>0.02631578947</v>
      </c>
      <c r="E85" s="85"/>
      <c r="F85" s="85"/>
      <c r="G85" s="86"/>
      <c r="H85" s="250"/>
      <c r="I85" s="244"/>
      <c r="J85" s="244"/>
      <c r="K85" s="244"/>
      <c r="U85" s="40"/>
      <c r="V85" s="40"/>
      <c r="W85" s="40"/>
      <c r="X85" s="40"/>
      <c r="Y85" s="40"/>
      <c r="Z85" s="40"/>
      <c r="AA85" s="40"/>
      <c r="AB85" s="40"/>
    </row>
    <row r="86">
      <c r="A86" s="213" t="s">
        <v>516</v>
      </c>
      <c r="B86" s="213">
        <v>5.0</v>
      </c>
      <c r="C86" s="213"/>
      <c r="D86" s="214">
        <f t="shared" si="37"/>
        <v>0.06578947368</v>
      </c>
      <c r="E86" s="85"/>
      <c r="F86" s="85"/>
      <c r="G86" s="86"/>
      <c r="H86" s="250"/>
      <c r="I86" s="244"/>
      <c r="J86" s="244"/>
      <c r="K86" s="244"/>
      <c r="U86" s="40"/>
      <c r="V86" s="40"/>
      <c r="W86" s="40"/>
      <c r="X86" s="40"/>
      <c r="Y86" s="40"/>
      <c r="Z86" s="40"/>
      <c r="AA86" s="40"/>
      <c r="AB86" s="40"/>
    </row>
    <row r="87">
      <c r="A87" s="215" t="s">
        <v>517</v>
      </c>
      <c r="B87" s="215">
        <v>61.0</v>
      </c>
      <c r="C87" s="215"/>
      <c r="D87" s="216">
        <f t="shared" si="37"/>
        <v>0.8026315789</v>
      </c>
      <c r="E87" s="110"/>
      <c r="F87" s="110"/>
      <c r="G87" s="86"/>
      <c r="H87" s="250"/>
      <c r="I87" s="244"/>
      <c r="J87" s="244"/>
      <c r="K87" s="244"/>
      <c r="U87" s="40"/>
      <c r="V87" s="40"/>
      <c r="W87" s="40"/>
      <c r="X87" s="40"/>
      <c r="Y87" s="40"/>
      <c r="Z87" s="40"/>
      <c r="AA87" s="40"/>
      <c r="AB87" s="40"/>
    </row>
    <row r="88">
      <c r="A88" s="213" t="s">
        <v>520</v>
      </c>
      <c r="B88" s="213">
        <v>4.0</v>
      </c>
      <c r="C88" s="213"/>
      <c r="D88" s="214">
        <f t="shared" si="37"/>
        <v>0.05263157895</v>
      </c>
      <c r="E88" s="85"/>
      <c r="F88" s="85"/>
      <c r="G88" s="86"/>
      <c r="H88" s="250"/>
      <c r="I88" s="244"/>
      <c r="J88" s="244"/>
      <c r="K88" s="244"/>
      <c r="U88" s="40"/>
      <c r="V88" s="40"/>
      <c r="W88" s="40"/>
      <c r="X88" s="40"/>
      <c r="Y88" s="40"/>
      <c r="Z88" s="40"/>
      <c r="AA88" s="40"/>
      <c r="AB88" s="40"/>
    </row>
    <row r="89">
      <c r="A89" s="213" t="s">
        <v>524</v>
      </c>
      <c r="B89" s="213">
        <v>9.0</v>
      </c>
      <c r="C89" s="213"/>
      <c r="D89" s="214">
        <f t="shared" si="37"/>
        <v>0.1184210526</v>
      </c>
      <c r="E89" s="85"/>
      <c r="F89" s="85"/>
      <c r="G89" s="86"/>
      <c r="H89" s="250"/>
      <c r="I89" s="244"/>
      <c r="J89" s="244"/>
      <c r="K89" s="244"/>
      <c r="U89" s="40"/>
      <c r="V89" s="40"/>
      <c r="W89" s="40"/>
      <c r="X89" s="40"/>
      <c r="Y89" s="40"/>
      <c r="Z89" s="40"/>
      <c r="AA89" s="40"/>
      <c r="AB89" s="40"/>
    </row>
    <row r="90">
      <c r="A90" s="215" t="s">
        <v>527</v>
      </c>
      <c r="B90" s="215">
        <v>74.0</v>
      </c>
      <c r="C90" s="215"/>
      <c r="D90" s="216">
        <f t="shared" si="37"/>
        <v>0.9736842105</v>
      </c>
      <c r="E90" s="110"/>
      <c r="F90" s="110"/>
      <c r="G90" s="86"/>
      <c r="H90" s="250"/>
      <c r="I90" s="244"/>
      <c r="J90" s="244"/>
      <c r="K90" s="244"/>
      <c r="U90" s="40"/>
      <c r="V90" s="40"/>
      <c r="W90" s="40"/>
      <c r="X90" s="40"/>
      <c r="Y90" s="40"/>
      <c r="Z90" s="40"/>
      <c r="AA90" s="40"/>
      <c r="AB90" s="40"/>
    </row>
    <row r="91">
      <c r="A91" s="213" t="s">
        <v>529</v>
      </c>
      <c r="B91" s="213">
        <v>1.0</v>
      </c>
      <c r="C91" s="213"/>
      <c r="D91" s="214">
        <f t="shared" si="37"/>
        <v>0.01315789474</v>
      </c>
      <c r="E91" s="85"/>
      <c r="F91" s="85"/>
      <c r="G91" s="86"/>
      <c r="H91" s="250"/>
      <c r="I91" s="244"/>
      <c r="J91" s="244"/>
      <c r="K91" s="244"/>
      <c r="U91" s="40"/>
      <c r="V91" s="40"/>
      <c r="W91" s="40"/>
      <c r="X91" s="40"/>
      <c r="Y91" s="40"/>
      <c r="Z91" s="40"/>
      <c r="AA91" s="40"/>
      <c r="AB91" s="40"/>
    </row>
    <row r="92">
      <c r="A92" s="213" t="s">
        <v>532</v>
      </c>
      <c r="B92" s="213">
        <v>1.0</v>
      </c>
      <c r="C92" s="213"/>
      <c r="D92" s="214">
        <f t="shared" si="37"/>
        <v>0.01315789474</v>
      </c>
      <c r="E92" s="85"/>
      <c r="F92" s="85"/>
      <c r="G92" s="221"/>
      <c r="H92" s="250"/>
      <c r="I92" s="244"/>
      <c r="J92" s="244"/>
      <c r="K92" s="244"/>
      <c r="U92" s="40"/>
      <c r="V92" s="40"/>
      <c r="W92" s="40"/>
      <c r="X92" s="40"/>
      <c r="Y92" s="40"/>
      <c r="Z92" s="40"/>
      <c r="AA92" s="40"/>
      <c r="AB92" s="40"/>
    </row>
    <row r="93">
      <c r="G93" s="203"/>
      <c r="H93" s="40"/>
      <c r="I93" s="244"/>
      <c r="J93" s="244"/>
      <c r="K93" s="244"/>
      <c r="U93" s="40"/>
      <c r="V93" s="40"/>
      <c r="W93" s="40"/>
      <c r="X93" s="40"/>
      <c r="Y93" s="40"/>
      <c r="Z93" s="40"/>
      <c r="AA93" s="40"/>
      <c r="AB93" s="40"/>
    </row>
    <row r="94">
      <c r="A94" s="222" t="s">
        <v>537</v>
      </c>
      <c r="B94" s="76"/>
      <c r="C94" s="76"/>
      <c r="D94" s="76"/>
      <c r="E94" s="76"/>
      <c r="F94" s="76"/>
      <c r="G94" s="223"/>
      <c r="H94" s="40"/>
      <c r="I94" s="244"/>
      <c r="J94" s="244"/>
      <c r="K94" s="244"/>
      <c r="U94" s="40"/>
      <c r="V94" s="40"/>
      <c r="W94" s="40"/>
      <c r="X94" s="40"/>
      <c r="Y94" s="40"/>
      <c r="Z94" s="40"/>
      <c r="AA94" s="40"/>
      <c r="AB94" s="40"/>
    </row>
    <row r="95">
      <c r="A95" s="189"/>
      <c r="B95" s="189" t="s">
        <v>57</v>
      </c>
      <c r="C95" s="189"/>
      <c r="D95" s="47" t="s">
        <v>75</v>
      </c>
      <c r="E95" s="189" t="s">
        <v>64</v>
      </c>
      <c r="F95" s="193" t="s">
        <v>67</v>
      </c>
      <c r="G95" s="195"/>
      <c r="H95" s="40"/>
      <c r="I95" s="244"/>
      <c r="J95" s="244"/>
      <c r="K95" s="244"/>
      <c r="U95" s="40"/>
      <c r="V95" s="40"/>
      <c r="W95" s="40"/>
      <c r="X95" s="40"/>
      <c r="Y95" s="40"/>
      <c r="Z95" s="40"/>
      <c r="AA95" s="40"/>
      <c r="AB95" s="40"/>
    </row>
    <row r="96">
      <c r="A96" s="224" t="s">
        <v>466</v>
      </c>
      <c r="B96" s="224">
        <v>6.0</v>
      </c>
      <c r="C96" s="224"/>
      <c r="D96" s="225">
        <f t="shared" ref="D96:D115" si="38">(B96/81)</f>
        <v>0.07407407407</v>
      </c>
      <c r="E96" s="85"/>
      <c r="F96" s="85"/>
      <c r="G96" s="86"/>
      <c r="H96" s="250"/>
      <c r="I96" s="244"/>
      <c r="J96" s="244"/>
      <c r="K96" s="244"/>
      <c r="U96" s="40"/>
      <c r="V96" s="40"/>
      <c r="W96" s="40"/>
      <c r="X96" s="40"/>
      <c r="Y96" s="40"/>
      <c r="Z96" s="40"/>
      <c r="AA96" s="40"/>
      <c r="AB96" s="40"/>
    </row>
    <row r="97">
      <c r="A97" s="224" t="s">
        <v>476</v>
      </c>
      <c r="B97" s="224">
        <v>14.0</v>
      </c>
      <c r="C97" s="224"/>
      <c r="D97" s="225">
        <f t="shared" si="38"/>
        <v>0.1728395062</v>
      </c>
      <c r="E97" s="85"/>
      <c r="F97" s="85"/>
      <c r="G97" s="86"/>
      <c r="H97" s="250"/>
      <c r="I97" s="244"/>
      <c r="J97" s="244"/>
      <c r="K97" s="244"/>
      <c r="U97" s="40"/>
      <c r="V97" s="40"/>
      <c r="W97" s="40"/>
      <c r="X97" s="40"/>
      <c r="Y97" s="40"/>
      <c r="Z97" s="40"/>
      <c r="AA97" s="40"/>
      <c r="AB97" s="40"/>
    </row>
    <row r="98">
      <c r="A98" s="226" t="s">
        <v>482</v>
      </c>
      <c r="B98" s="226">
        <v>20.0</v>
      </c>
      <c r="C98" s="226"/>
      <c r="D98" s="227">
        <f t="shared" si="38"/>
        <v>0.2469135802</v>
      </c>
      <c r="E98" s="110"/>
      <c r="F98" s="110"/>
      <c r="G98" s="86"/>
      <c r="H98" s="250"/>
      <c r="I98" s="244"/>
      <c r="J98" s="244"/>
      <c r="K98" s="244"/>
      <c r="U98" s="40"/>
      <c r="V98" s="40"/>
      <c r="W98" s="40"/>
      <c r="X98" s="40"/>
      <c r="Y98" s="40"/>
      <c r="Z98" s="40"/>
      <c r="AA98" s="40"/>
      <c r="AB98" s="40"/>
    </row>
    <row r="99">
      <c r="A99" s="224" t="s">
        <v>486</v>
      </c>
      <c r="B99" s="224">
        <v>6.0</v>
      </c>
      <c r="C99" s="224"/>
      <c r="D99" s="225">
        <f t="shared" si="38"/>
        <v>0.07407407407</v>
      </c>
      <c r="E99" s="85"/>
      <c r="F99" s="85"/>
      <c r="G99" s="86"/>
      <c r="H99" s="250"/>
      <c r="I99" s="244"/>
      <c r="J99" s="244"/>
      <c r="K99" s="244"/>
      <c r="U99" s="40"/>
      <c r="V99" s="40"/>
      <c r="W99" s="40"/>
      <c r="X99" s="40"/>
      <c r="Y99" s="40"/>
      <c r="Z99" s="40"/>
      <c r="AA99" s="40"/>
      <c r="AB99" s="40"/>
    </row>
    <row r="100">
      <c r="A100" s="224" t="s">
        <v>490</v>
      </c>
      <c r="B100" s="224">
        <v>18.0</v>
      </c>
      <c r="C100" s="224"/>
      <c r="D100" s="225">
        <f t="shared" si="38"/>
        <v>0.2222222222</v>
      </c>
      <c r="E100" s="85"/>
      <c r="F100" s="85"/>
      <c r="G100" s="86"/>
      <c r="H100" s="250"/>
      <c r="I100" s="244"/>
      <c r="J100" s="244"/>
      <c r="K100" s="244"/>
      <c r="U100" s="40"/>
      <c r="V100" s="40"/>
      <c r="W100" s="40"/>
      <c r="X100" s="40"/>
      <c r="Y100" s="40"/>
      <c r="Z100" s="40"/>
      <c r="AA100" s="40"/>
      <c r="AB100" s="40"/>
    </row>
    <row r="101">
      <c r="A101" s="226" t="s">
        <v>493</v>
      </c>
      <c r="B101" s="226">
        <v>44.0</v>
      </c>
      <c r="C101" s="226"/>
      <c r="D101" s="227">
        <f t="shared" si="38"/>
        <v>0.5432098765</v>
      </c>
      <c r="E101" s="110"/>
      <c r="F101" s="110"/>
      <c r="G101" s="86"/>
      <c r="H101" s="250"/>
      <c r="I101" s="244"/>
      <c r="J101" s="244"/>
      <c r="K101" s="244"/>
      <c r="U101" s="40"/>
      <c r="V101" s="40"/>
      <c r="W101" s="40"/>
      <c r="X101" s="40"/>
      <c r="Y101" s="40"/>
      <c r="Z101" s="40"/>
      <c r="AA101" s="40"/>
      <c r="AB101" s="40"/>
    </row>
    <row r="102">
      <c r="A102" s="224" t="s">
        <v>495</v>
      </c>
      <c r="B102" s="224">
        <v>9.0</v>
      </c>
      <c r="C102" s="224"/>
      <c r="D102" s="225">
        <f t="shared" si="38"/>
        <v>0.1111111111</v>
      </c>
      <c r="E102" s="85"/>
      <c r="F102" s="85"/>
      <c r="G102" s="86"/>
      <c r="H102" s="250"/>
      <c r="I102" s="244"/>
      <c r="J102" s="244"/>
      <c r="K102" s="244"/>
      <c r="U102" s="40"/>
      <c r="V102" s="40"/>
      <c r="W102" s="40"/>
      <c r="X102" s="40"/>
      <c r="Y102" s="40"/>
      <c r="Z102" s="40"/>
      <c r="AA102" s="40"/>
      <c r="AB102" s="40"/>
    </row>
    <row r="103">
      <c r="A103" s="224" t="s">
        <v>498</v>
      </c>
      <c r="B103" s="224">
        <v>8.0</v>
      </c>
      <c r="C103" s="224"/>
      <c r="D103" s="225">
        <f t="shared" si="38"/>
        <v>0.0987654321</v>
      </c>
      <c r="E103" s="85"/>
      <c r="F103" s="85"/>
      <c r="G103" s="86"/>
      <c r="H103" s="250"/>
      <c r="I103" s="244"/>
      <c r="J103" s="244"/>
      <c r="K103" s="244"/>
      <c r="U103" s="40"/>
      <c r="V103" s="40"/>
      <c r="W103" s="40"/>
      <c r="X103" s="40"/>
      <c r="Y103" s="40"/>
      <c r="Z103" s="40"/>
      <c r="AA103" s="40"/>
      <c r="AB103" s="40"/>
    </row>
    <row r="104">
      <c r="A104" s="228" t="s">
        <v>501</v>
      </c>
      <c r="B104" s="228">
        <v>61.0</v>
      </c>
      <c r="C104" s="228"/>
      <c r="D104" s="229">
        <f t="shared" si="38"/>
        <v>0.7530864198</v>
      </c>
      <c r="E104" s="110"/>
      <c r="F104" s="110"/>
      <c r="G104" s="86"/>
      <c r="H104" s="250"/>
      <c r="I104" s="244"/>
      <c r="J104" s="244"/>
      <c r="K104" s="244"/>
      <c r="U104" s="40"/>
      <c r="V104" s="40"/>
      <c r="W104" s="40"/>
      <c r="X104" s="40"/>
      <c r="Y104" s="40"/>
      <c r="Z104" s="40"/>
      <c r="AA104" s="40"/>
      <c r="AB104" s="40"/>
    </row>
    <row r="105">
      <c r="A105" s="224" t="s">
        <v>504</v>
      </c>
      <c r="B105" s="224">
        <v>7.0</v>
      </c>
      <c r="C105" s="224"/>
      <c r="D105" s="225">
        <f t="shared" si="38"/>
        <v>0.08641975309</v>
      </c>
      <c r="E105" s="85"/>
      <c r="F105" s="85"/>
      <c r="G105" s="86"/>
      <c r="H105" s="250"/>
      <c r="I105" s="244"/>
      <c r="J105" s="244"/>
      <c r="K105" s="244"/>
      <c r="U105" s="40"/>
      <c r="V105" s="40"/>
      <c r="W105" s="40"/>
      <c r="X105" s="40"/>
      <c r="Y105" s="40"/>
      <c r="Z105" s="40"/>
      <c r="AA105" s="40"/>
      <c r="AB105" s="40"/>
    </row>
    <row r="106">
      <c r="A106" s="224" t="s">
        <v>507</v>
      </c>
      <c r="B106" s="224">
        <v>2.0</v>
      </c>
      <c r="C106" s="224"/>
      <c r="D106" s="225">
        <f t="shared" si="38"/>
        <v>0.02469135802</v>
      </c>
      <c r="E106" s="85"/>
      <c r="F106" s="85"/>
      <c r="G106" s="86"/>
      <c r="H106" s="250"/>
      <c r="I106" s="244"/>
      <c r="J106" s="244"/>
      <c r="K106" s="244"/>
      <c r="U106" s="40"/>
      <c r="V106" s="40"/>
      <c r="W106" s="40"/>
      <c r="X106" s="40"/>
      <c r="Y106" s="40"/>
      <c r="Z106" s="40"/>
      <c r="AA106" s="40"/>
      <c r="AB106" s="40"/>
    </row>
    <row r="107">
      <c r="A107" s="226" t="s">
        <v>510</v>
      </c>
      <c r="B107" s="226">
        <v>70.0</v>
      </c>
      <c r="C107" s="226"/>
      <c r="D107" s="227">
        <f t="shared" si="38"/>
        <v>0.8641975309</v>
      </c>
      <c r="E107" s="110"/>
      <c r="F107" s="110"/>
      <c r="G107" s="86"/>
      <c r="H107" s="250"/>
      <c r="I107" s="244"/>
      <c r="J107" s="244"/>
      <c r="K107" s="244"/>
      <c r="U107" s="40"/>
      <c r="V107" s="40"/>
      <c r="W107" s="40"/>
      <c r="X107" s="40"/>
      <c r="Y107" s="40"/>
      <c r="Z107" s="40"/>
      <c r="AA107" s="40"/>
      <c r="AB107" s="40"/>
    </row>
    <row r="108">
      <c r="A108" s="224" t="s">
        <v>513</v>
      </c>
      <c r="B108" s="224">
        <v>3.0</v>
      </c>
      <c r="C108" s="224"/>
      <c r="D108" s="225">
        <f t="shared" si="38"/>
        <v>0.03703703704</v>
      </c>
      <c r="E108" s="85"/>
      <c r="F108" s="85"/>
      <c r="G108" s="86"/>
      <c r="H108" s="250"/>
      <c r="I108" s="244"/>
      <c r="J108" s="244"/>
      <c r="K108" s="244"/>
      <c r="U108" s="40"/>
      <c r="V108" s="40"/>
      <c r="W108" s="40"/>
      <c r="X108" s="40"/>
      <c r="Y108" s="40"/>
      <c r="Z108" s="40"/>
      <c r="AA108" s="40"/>
      <c r="AB108" s="40"/>
    </row>
    <row r="109">
      <c r="A109" s="224" t="s">
        <v>516</v>
      </c>
      <c r="B109" s="224">
        <v>6.0</v>
      </c>
      <c r="C109" s="224"/>
      <c r="D109" s="225">
        <f t="shared" si="38"/>
        <v>0.07407407407</v>
      </c>
      <c r="E109" s="85"/>
      <c r="F109" s="85"/>
      <c r="G109" s="86"/>
      <c r="H109" s="250"/>
      <c r="I109" s="244"/>
      <c r="J109" s="244"/>
      <c r="K109" s="244"/>
      <c r="U109" s="40"/>
      <c r="V109" s="40"/>
      <c r="W109" s="40"/>
      <c r="X109" s="40"/>
      <c r="Y109" s="40"/>
      <c r="Z109" s="40"/>
      <c r="AA109" s="40"/>
      <c r="AB109" s="40"/>
    </row>
    <row r="110">
      <c r="A110" s="226" t="s">
        <v>517</v>
      </c>
      <c r="B110" s="226">
        <v>79.0</v>
      </c>
      <c r="C110" s="226"/>
      <c r="D110" s="227">
        <f t="shared" si="38"/>
        <v>0.975308642</v>
      </c>
      <c r="E110" s="110"/>
      <c r="F110" s="110"/>
      <c r="G110" s="86"/>
      <c r="H110" s="250"/>
      <c r="I110" s="244"/>
      <c r="J110" s="244"/>
      <c r="K110" s="244"/>
      <c r="U110" s="40"/>
      <c r="V110" s="40"/>
      <c r="W110" s="40"/>
      <c r="X110" s="40"/>
      <c r="Y110" s="40"/>
      <c r="Z110" s="40"/>
      <c r="AA110" s="40"/>
      <c r="AB110" s="40"/>
    </row>
    <row r="111">
      <c r="A111" s="224" t="s">
        <v>520</v>
      </c>
      <c r="B111" s="224">
        <v>2.0</v>
      </c>
      <c r="C111" s="224"/>
      <c r="D111" s="225">
        <f t="shared" si="38"/>
        <v>0.02469135802</v>
      </c>
      <c r="E111" s="85"/>
      <c r="F111" s="85"/>
      <c r="G111" s="86"/>
      <c r="H111" s="250"/>
      <c r="I111" s="244"/>
      <c r="J111" s="244"/>
      <c r="K111" s="244"/>
      <c r="U111" s="40"/>
      <c r="V111" s="40"/>
      <c r="W111" s="40"/>
      <c r="X111" s="40"/>
      <c r="Y111" s="40"/>
      <c r="Z111" s="40"/>
      <c r="AA111" s="40"/>
      <c r="AB111" s="40"/>
    </row>
    <row r="112">
      <c r="A112" s="224" t="s">
        <v>524</v>
      </c>
      <c r="B112" s="224">
        <v>0.0</v>
      </c>
      <c r="C112" s="224"/>
      <c r="D112" s="225">
        <f t="shared" si="38"/>
        <v>0</v>
      </c>
      <c r="E112" s="85"/>
      <c r="F112" s="85"/>
      <c r="G112" s="86"/>
      <c r="H112" s="250"/>
      <c r="I112" s="244"/>
      <c r="J112" s="244"/>
      <c r="K112" s="244"/>
      <c r="U112" s="40"/>
      <c r="V112" s="40"/>
      <c r="W112" s="40"/>
      <c r="X112" s="40"/>
      <c r="Y112" s="40"/>
      <c r="Z112" s="40"/>
      <c r="AA112" s="40"/>
      <c r="AB112" s="40"/>
    </row>
    <row r="113">
      <c r="A113" s="226" t="s">
        <v>527</v>
      </c>
      <c r="B113" s="226">
        <v>81.0</v>
      </c>
      <c r="C113" s="226"/>
      <c r="D113" s="227">
        <f t="shared" si="38"/>
        <v>1</v>
      </c>
      <c r="E113" s="110"/>
      <c r="F113" s="110"/>
      <c r="G113" s="86"/>
      <c r="H113" s="250"/>
      <c r="I113" s="244"/>
      <c r="J113" s="244"/>
      <c r="K113" s="244"/>
      <c r="U113" s="40"/>
      <c r="V113" s="40"/>
      <c r="W113" s="40"/>
      <c r="X113" s="40"/>
      <c r="Y113" s="40"/>
      <c r="Z113" s="40"/>
      <c r="AA113" s="40"/>
      <c r="AB113" s="40"/>
    </row>
    <row r="114">
      <c r="A114" s="224" t="s">
        <v>529</v>
      </c>
      <c r="B114" s="224">
        <v>0.0</v>
      </c>
      <c r="C114" s="224"/>
      <c r="D114" s="225">
        <f t="shared" si="38"/>
        <v>0</v>
      </c>
      <c r="E114" s="85"/>
      <c r="F114" s="85"/>
      <c r="G114" s="86"/>
      <c r="H114" s="250"/>
      <c r="I114" s="244"/>
      <c r="J114" s="244"/>
      <c r="K114" s="244"/>
      <c r="U114" s="40"/>
      <c r="V114" s="40"/>
      <c r="W114" s="40"/>
      <c r="X114" s="40"/>
      <c r="Y114" s="40"/>
      <c r="Z114" s="40"/>
      <c r="AA114" s="40"/>
      <c r="AB114" s="40"/>
    </row>
    <row r="115">
      <c r="A115" s="224" t="s">
        <v>532</v>
      </c>
      <c r="B115" s="224">
        <v>0.0</v>
      </c>
      <c r="C115" s="224"/>
      <c r="D115" s="225">
        <f t="shared" si="38"/>
        <v>0</v>
      </c>
      <c r="E115" s="85"/>
      <c r="F115" s="85"/>
      <c r="G115" s="86"/>
      <c r="H115" s="250"/>
      <c r="I115" s="244"/>
      <c r="J115" s="244"/>
      <c r="K115" s="244"/>
      <c r="U115" s="40"/>
      <c r="V115" s="40"/>
      <c r="W115" s="40"/>
      <c r="X115" s="40"/>
      <c r="Y115" s="40"/>
      <c r="Z115" s="40"/>
      <c r="AA115" s="40"/>
      <c r="AB115" s="40"/>
    </row>
    <row r="116">
      <c r="G116" s="9"/>
      <c r="I116" s="244"/>
      <c r="J116" s="244"/>
      <c r="K116" s="244"/>
      <c r="U116" s="40"/>
      <c r="V116" s="40"/>
      <c r="W116" s="40"/>
      <c r="X116" s="40"/>
      <c r="Y116" s="40"/>
      <c r="Z116" s="40"/>
      <c r="AA116" s="40"/>
      <c r="AB116" s="40"/>
    </row>
    <row r="117">
      <c r="A117" s="186" t="s">
        <v>538</v>
      </c>
      <c r="B117" s="4"/>
      <c r="C117" s="4"/>
      <c r="D117" s="4"/>
      <c r="E117" s="4"/>
      <c r="F117" s="4"/>
      <c r="G117" s="5"/>
      <c r="H117" s="40"/>
      <c r="I117" s="244"/>
      <c r="J117" s="244"/>
      <c r="K117" s="244"/>
      <c r="U117" s="40"/>
      <c r="V117" s="40"/>
      <c r="W117" s="40"/>
      <c r="X117" s="40"/>
      <c r="Y117" s="40"/>
      <c r="Z117" s="40"/>
      <c r="AA117" s="40"/>
      <c r="AB117" s="40"/>
    </row>
    <row r="118">
      <c r="A118" s="44"/>
      <c r="B118" s="44" t="s">
        <v>57</v>
      </c>
      <c r="C118" s="44"/>
      <c r="D118" s="47" t="s">
        <v>75</v>
      </c>
      <c r="E118" s="44" t="s">
        <v>64</v>
      </c>
      <c r="F118" s="47" t="s">
        <v>67</v>
      </c>
      <c r="G118" s="52"/>
      <c r="H118" s="40"/>
      <c r="I118" s="244"/>
      <c r="J118" s="244"/>
      <c r="K118" s="244"/>
      <c r="U118" s="40"/>
      <c r="V118" s="40"/>
      <c r="W118" s="40"/>
      <c r="X118" s="40"/>
      <c r="Y118" s="40"/>
      <c r="Z118" s="40"/>
      <c r="AA118" s="40"/>
      <c r="AB118" s="40"/>
    </row>
    <row r="119">
      <c r="A119" s="239" t="s">
        <v>466</v>
      </c>
      <c r="B119" s="241">
        <v>6.0</v>
      </c>
      <c r="C119" s="241"/>
      <c r="D119" s="243">
        <f t="shared" ref="D119:D138" si="39">(B119/160)</f>
        <v>0.0375</v>
      </c>
      <c r="E119" s="85"/>
      <c r="F119" s="85"/>
      <c r="G119" s="86"/>
      <c r="H119" s="250"/>
      <c r="I119" s="244"/>
      <c r="J119" s="244"/>
      <c r="K119" s="244"/>
      <c r="U119" s="40"/>
      <c r="V119" s="40"/>
      <c r="W119" s="40"/>
      <c r="X119" s="40"/>
      <c r="Y119" s="40"/>
      <c r="Z119" s="40"/>
      <c r="AA119" s="40"/>
      <c r="AB119" s="40"/>
    </row>
    <row r="120">
      <c r="A120" s="239" t="s">
        <v>476</v>
      </c>
      <c r="B120" s="241">
        <v>7.0</v>
      </c>
      <c r="C120" s="241"/>
      <c r="D120" s="243">
        <f t="shared" si="39"/>
        <v>0.04375</v>
      </c>
      <c r="E120" s="85"/>
      <c r="F120" s="85"/>
      <c r="G120" s="86"/>
      <c r="H120" s="250"/>
      <c r="I120" s="244"/>
      <c r="J120" s="244"/>
      <c r="K120" s="244"/>
      <c r="U120" s="40"/>
      <c r="V120" s="40"/>
      <c r="W120" s="40"/>
      <c r="X120" s="40"/>
      <c r="Y120" s="40"/>
      <c r="Z120" s="40"/>
      <c r="AA120" s="40"/>
      <c r="AB120" s="40"/>
    </row>
    <row r="121">
      <c r="A121" s="245" t="s">
        <v>482</v>
      </c>
      <c r="B121" s="246">
        <v>13.0</v>
      </c>
      <c r="C121" s="246"/>
      <c r="D121" s="247">
        <f t="shared" si="39"/>
        <v>0.08125</v>
      </c>
      <c r="E121" s="110"/>
      <c r="F121" s="110"/>
      <c r="G121" s="86"/>
      <c r="H121" s="250"/>
      <c r="I121" s="244"/>
      <c r="J121" s="244"/>
      <c r="K121" s="244"/>
      <c r="U121" s="40"/>
      <c r="V121" s="40"/>
      <c r="W121" s="40"/>
      <c r="X121" s="40"/>
      <c r="Y121" s="40"/>
      <c r="Z121" s="40"/>
      <c r="AA121" s="40"/>
      <c r="AB121" s="40"/>
    </row>
    <row r="122">
      <c r="A122" s="239" t="s">
        <v>486</v>
      </c>
      <c r="B122" s="241">
        <v>8.0</v>
      </c>
      <c r="C122" s="241"/>
      <c r="D122" s="243">
        <f t="shared" si="39"/>
        <v>0.05</v>
      </c>
      <c r="E122" s="85"/>
      <c r="F122" s="85"/>
      <c r="G122" s="86"/>
      <c r="H122" s="250"/>
      <c r="I122" s="244"/>
      <c r="J122" s="244"/>
      <c r="K122" s="244"/>
      <c r="U122" s="40"/>
      <c r="V122" s="40"/>
      <c r="W122" s="40"/>
      <c r="X122" s="40"/>
      <c r="Y122" s="40"/>
      <c r="Z122" s="40"/>
      <c r="AA122" s="40"/>
      <c r="AB122" s="40"/>
    </row>
    <row r="123">
      <c r="A123" s="239" t="s">
        <v>490</v>
      </c>
      <c r="B123" s="241">
        <v>17.0</v>
      </c>
      <c r="C123" s="241"/>
      <c r="D123" s="243">
        <f t="shared" si="39"/>
        <v>0.10625</v>
      </c>
      <c r="E123" s="85"/>
      <c r="F123" s="85"/>
      <c r="G123" s="86"/>
      <c r="H123" s="250"/>
      <c r="I123" s="244"/>
      <c r="J123" s="244"/>
      <c r="K123" s="244"/>
      <c r="U123" s="40"/>
      <c r="V123" s="40"/>
      <c r="W123" s="40"/>
      <c r="X123" s="40"/>
      <c r="Y123" s="40"/>
      <c r="Z123" s="40"/>
      <c r="AA123" s="40"/>
      <c r="AB123" s="40"/>
    </row>
    <row r="124">
      <c r="A124" s="245" t="s">
        <v>493</v>
      </c>
      <c r="B124" s="246">
        <v>38.0</v>
      </c>
      <c r="C124" s="246"/>
      <c r="D124" s="247">
        <f t="shared" si="39"/>
        <v>0.2375</v>
      </c>
      <c r="E124" s="110"/>
      <c r="F124" s="110"/>
      <c r="G124" s="86"/>
      <c r="H124" s="250"/>
      <c r="I124" s="244"/>
      <c r="J124" s="244"/>
      <c r="K124" s="244"/>
      <c r="U124" s="40"/>
      <c r="V124" s="40"/>
      <c r="W124" s="40"/>
      <c r="X124" s="40"/>
      <c r="Y124" s="40"/>
      <c r="Z124" s="40"/>
      <c r="AA124" s="40"/>
      <c r="AB124" s="40"/>
    </row>
    <row r="125">
      <c r="A125" s="239" t="s">
        <v>495</v>
      </c>
      <c r="B125" s="241">
        <v>16.0</v>
      </c>
      <c r="C125" s="241"/>
      <c r="D125" s="243">
        <f t="shared" si="39"/>
        <v>0.1</v>
      </c>
      <c r="E125" s="85"/>
      <c r="F125" s="85"/>
      <c r="G125" s="86"/>
      <c r="H125" s="250"/>
      <c r="I125" s="244"/>
      <c r="J125" s="244"/>
      <c r="K125" s="244"/>
      <c r="U125" s="40"/>
      <c r="V125" s="40"/>
      <c r="W125" s="40"/>
      <c r="X125" s="40"/>
      <c r="Y125" s="40"/>
      <c r="Z125" s="40"/>
      <c r="AA125" s="40"/>
      <c r="AB125" s="40"/>
    </row>
    <row r="126">
      <c r="A126" s="239" t="s">
        <v>498</v>
      </c>
      <c r="B126" s="241">
        <v>9.0</v>
      </c>
      <c r="C126" s="241"/>
      <c r="D126" s="243">
        <f t="shared" si="39"/>
        <v>0.05625</v>
      </c>
      <c r="E126" s="85"/>
      <c r="F126" s="85"/>
      <c r="G126" s="86"/>
      <c r="H126" s="250"/>
      <c r="I126" s="244"/>
      <c r="J126" s="244"/>
      <c r="K126" s="244"/>
      <c r="U126" s="40"/>
      <c r="V126" s="40"/>
      <c r="W126" s="40"/>
      <c r="X126" s="40"/>
      <c r="Y126" s="40"/>
      <c r="Z126" s="40"/>
      <c r="AA126" s="40"/>
      <c r="AB126" s="40"/>
    </row>
    <row r="127">
      <c r="A127" s="248" t="s">
        <v>501</v>
      </c>
      <c r="B127" s="249">
        <v>63.0</v>
      </c>
      <c r="C127" s="249"/>
      <c r="D127" s="251">
        <f t="shared" si="39"/>
        <v>0.39375</v>
      </c>
      <c r="E127" s="110"/>
      <c r="F127" s="110"/>
      <c r="G127" s="86"/>
      <c r="H127" s="250"/>
      <c r="I127" s="244"/>
      <c r="J127" s="244"/>
      <c r="K127" s="244"/>
      <c r="U127" s="40"/>
      <c r="V127" s="40"/>
      <c r="W127" s="40"/>
      <c r="X127" s="40"/>
      <c r="Y127" s="40"/>
      <c r="Z127" s="40"/>
      <c r="AA127" s="40"/>
      <c r="AB127" s="40"/>
    </row>
    <row r="128">
      <c r="A128" s="239" t="s">
        <v>504</v>
      </c>
      <c r="B128" s="241">
        <v>11.0</v>
      </c>
      <c r="C128" s="241"/>
      <c r="D128" s="243">
        <f t="shared" si="39"/>
        <v>0.06875</v>
      </c>
      <c r="E128" s="85"/>
      <c r="F128" s="85"/>
      <c r="G128" s="86"/>
      <c r="H128" s="250"/>
      <c r="I128" s="244"/>
      <c r="J128" s="244"/>
      <c r="K128" s="244"/>
      <c r="U128" s="40"/>
      <c r="V128" s="40"/>
      <c r="W128" s="40"/>
      <c r="X128" s="40"/>
      <c r="Y128" s="40"/>
      <c r="Z128" s="40"/>
      <c r="AA128" s="40"/>
      <c r="AB128" s="40"/>
    </row>
    <row r="129">
      <c r="A129" s="239" t="s">
        <v>507</v>
      </c>
      <c r="B129" s="241">
        <v>9.0</v>
      </c>
      <c r="C129" s="241"/>
      <c r="D129" s="243">
        <f t="shared" si="39"/>
        <v>0.05625</v>
      </c>
      <c r="E129" s="85"/>
      <c r="F129" s="85"/>
      <c r="G129" s="86"/>
      <c r="H129" s="250"/>
      <c r="I129" s="244"/>
      <c r="J129" s="244"/>
      <c r="K129" s="244"/>
      <c r="U129" s="40"/>
      <c r="V129" s="40"/>
      <c r="W129" s="40"/>
      <c r="X129" s="40"/>
      <c r="Y129" s="40"/>
      <c r="Z129" s="40"/>
      <c r="AA129" s="40"/>
      <c r="AB129" s="40"/>
    </row>
    <row r="130">
      <c r="A130" s="245" t="s">
        <v>510</v>
      </c>
      <c r="B130" s="246">
        <v>83.0</v>
      </c>
      <c r="C130" s="246"/>
      <c r="D130" s="247">
        <f t="shared" si="39"/>
        <v>0.51875</v>
      </c>
      <c r="E130" s="110"/>
      <c r="F130" s="110"/>
      <c r="G130" s="86"/>
      <c r="H130" s="250"/>
      <c r="I130" s="244"/>
      <c r="J130" s="244"/>
      <c r="K130" s="244"/>
      <c r="U130" s="40"/>
      <c r="V130" s="40"/>
      <c r="W130" s="40"/>
      <c r="X130" s="40"/>
      <c r="Y130" s="40"/>
      <c r="Z130" s="40"/>
      <c r="AA130" s="40"/>
      <c r="AB130" s="40"/>
    </row>
    <row r="131">
      <c r="A131" s="239" t="s">
        <v>513</v>
      </c>
      <c r="B131" s="241">
        <v>9.0</v>
      </c>
      <c r="C131" s="241"/>
      <c r="D131" s="243">
        <f t="shared" si="39"/>
        <v>0.05625</v>
      </c>
      <c r="E131" s="85"/>
      <c r="F131" s="85"/>
      <c r="G131" s="86"/>
      <c r="H131" s="250"/>
      <c r="I131" s="244"/>
      <c r="J131" s="244"/>
      <c r="K131" s="244"/>
      <c r="U131" s="40"/>
      <c r="V131" s="40"/>
      <c r="W131" s="40"/>
      <c r="X131" s="40"/>
      <c r="Y131" s="40"/>
      <c r="Z131" s="40"/>
      <c r="AA131" s="40"/>
      <c r="AB131" s="40"/>
    </row>
    <row r="132">
      <c r="A132" s="239" t="s">
        <v>516</v>
      </c>
      <c r="B132" s="241">
        <v>14.0</v>
      </c>
      <c r="C132" s="241"/>
      <c r="D132" s="243">
        <f t="shared" si="39"/>
        <v>0.0875</v>
      </c>
      <c r="E132" s="85"/>
      <c r="F132" s="85"/>
      <c r="G132" s="86"/>
      <c r="H132" s="250"/>
      <c r="I132" s="244"/>
      <c r="J132" s="244"/>
      <c r="K132" s="244"/>
      <c r="U132" s="40"/>
      <c r="V132" s="40"/>
      <c r="W132" s="40"/>
      <c r="X132" s="40"/>
      <c r="Y132" s="40"/>
      <c r="Z132" s="40"/>
      <c r="AA132" s="40"/>
      <c r="AB132" s="40"/>
    </row>
    <row r="133">
      <c r="A133" s="245" t="s">
        <v>517</v>
      </c>
      <c r="B133" s="246">
        <v>106.0</v>
      </c>
      <c r="C133" s="246"/>
      <c r="D133" s="247">
        <f t="shared" si="39"/>
        <v>0.6625</v>
      </c>
      <c r="E133" s="110"/>
      <c r="F133" s="110"/>
      <c r="G133" s="86"/>
      <c r="H133" s="250"/>
      <c r="I133" s="244"/>
      <c r="J133" s="244"/>
      <c r="K133" s="244"/>
      <c r="U133" s="40"/>
      <c r="V133" s="40"/>
      <c r="W133" s="40"/>
      <c r="X133" s="40"/>
      <c r="Y133" s="40"/>
      <c r="Z133" s="40"/>
      <c r="AA133" s="40"/>
      <c r="AB133" s="40"/>
    </row>
    <row r="134">
      <c r="A134" s="239" t="s">
        <v>520</v>
      </c>
      <c r="B134" s="241">
        <v>16.0</v>
      </c>
      <c r="C134" s="241"/>
      <c r="D134" s="243">
        <f t="shared" si="39"/>
        <v>0.1</v>
      </c>
      <c r="E134" s="85"/>
      <c r="F134" s="85"/>
      <c r="G134" s="86"/>
      <c r="H134" s="250"/>
      <c r="I134" s="244"/>
      <c r="J134" s="244"/>
      <c r="K134" s="244"/>
      <c r="U134" s="40"/>
      <c r="V134" s="40"/>
      <c r="W134" s="40"/>
      <c r="X134" s="40"/>
      <c r="Y134" s="40"/>
      <c r="Z134" s="40"/>
      <c r="AA134" s="40"/>
      <c r="AB134" s="40"/>
    </row>
    <row r="135">
      <c r="A135" s="239" t="s">
        <v>524</v>
      </c>
      <c r="B135" s="241">
        <v>9.0</v>
      </c>
      <c r="C135" s="241"/>
      <c r="D135" s="243">
        <f t="shared" si="39"/>
        <v>0.05625</v>
      </c>
      <c r="E135" s="85"/>
      <c r="F135" s="85"/>
      <c r="G135" s="86"/>
      <c r="H135" s="250"/>
      <c r="I135" s="244"/>
      <c r="J135" s="244"/>
      <c r="K135" s="244"/>
      <c r="U135" s="40"/>
      <c r="V135" s="40"/>
      <c r="W135" s="40"/>
      <c r="X135" s="40"/>
      <c r="Y135" s="40"/>
      <c r="Z135" s="40"/>
      <c r="AA135" s="40"/>
      <c r="AB135" s="40"/>
    </row>
    <row r="136">
      <c r="A136" s="245" t="s">
        <v>527</v>
      </c>
      <c r="B136" s="246">
        <v>131.0</v>
      </c>
      <c r="C136" s="246"/>
      <c r="D136" s="247">
        <f t="shared" si="39"/>
        <v>0.81875</v>
      </c>
      <c r="E136" s="110"/>
      <c r="F136" s="110"/>
      <c r="G136" s="86"/>
      <c r="H136" s="250"/>
      <c r="I136" s="244"/>
      <c r="J136" s="244"/>
      <c r="K136" s="244"/>
      <c r="U136" s="40"/>
      <c r="V136" s="40"/>
      <c r="W136" s="40"/>
      <c r="X136" s="40"/>
      <c r="Y136" s="40"/>
      <c r="Z136" s="40"/>
      <c r="AA136" s="40"/>
      <c r="AB136" s="40"/>
    </row>
    <row r="137">
      <c r="A137" s="239" t="s">
        <v>529</v>
      </c>
      <c r="B137" s="241">
        <v>15.0</v>
      </c>
      <c r="C137" s="241"/>
      <c r="D137" s="243">
        <f t="shared" si="39"/>
        <v>0.09375</v>
      </c>
      <c r="E137" s="85"/>
      <c r="F137" s="85"/>
      <c r="G137" s="86"/>
      <c r="H137" s="250"/>
      <c r="I137" s="244"/>
      <c r="J137" s="244"/>
      <c r="K137" s="244"/>
      <c r="U137" s="40"/>
      <c r="V137" s="40"/>
      <c r="W137" s="40"/>
      <c r="X137" s="40"/>
      <c r="Y137" s="40"/>
      <c r="Z137" s="40"/>
      <c r="AA137" s="40"/>
      <c r="AB137" s="40"/>
    </row>
    <row r="138">
      <c r="A138" s="239" t="s">
        <v>532</v>
      </c>
      <c r="B138" s="241">
        <v>18.0</v>
      </c>
      <c r="C138" s="241"/>
      <c r="D138" s="243">
        <f t="shared" si="39"/>
        <v>0.1125</v>
      </c>
      <c r="E138" s="85"/>
      <c r="F138" s="85"/>
      <c r="G138" s="86"/>
      <c r="H138" s="250"/>
      <c r="I138" s="244"/>
      <c r="J138" s="244"/>
      <c r="K138" s="244"/>
      <c r="U138" s="40"/>
      <c r="V138" s="40"/>
      <c r="W138" s="40"/>
      <c r="X138" s="40"/>
      <c r="Y138" s="40"/>
      <c r="Z138" s="40"/>
      <c r="AA138" s="40"/>
      <c r="AB138" s="40"/>
    </row>
    <row r="139">
      <c r="G139" s="9"/>
      <c r="I139" s="244"/>
      <c r="J139" s="244"/>
      <c r="K139" s="244"/>
      <c r="U139" s="40"/>
      <c r="V139" s="40"/>
      <c r="W139" s="40"/>
      <c r="X139" s="40"/>
      <c r="Y139" s="40"/>
      <c r="Z139" s="40"/>
      <c r="AA139" s="40"/>
      <c r="AB139" s="40"/>
    </row>
    <row r="140">
      <c r="A140" s="186" t="s">
        <v>539</v>
      </c>
      <c r="B140" s="4"/>
      <c r="C140" s="4"/>
      <c r="D140" s="4"/>
      <c r="E140" s="4"/>
      <c r="F140" s="4"/>
      <c r="G140" s="5"/>
      <c r="H140" s="40"/>
      <c r="I140" s="244"/>
      <c r="J140" s="244"/>
      <c r="K140" s="244"/>
      <c r="U140" s="40"/>
      <c r="V140" s="40"/>
      <c r="W140" s="40"/>
      <c r="X140" s="40"/>
      <c r="Y140" s="40"/>
      <c r="Z140" s="40"/>
      <c r="AA140" s="40"/>
      <c r="AB140" s="40"/>
    </row>
    <row r="141">
      <c r="A141" s="44"/>
      <c r="B141" s="44" t="s">
        <v>57</v>
      </c>
      <c r="C141" s="44"/>
      <c r="D141" s="47" t="s">
        <v>75</v>
      </c>
      <c r="E141" s="44" t="s">
        <v>64</v>
      </c>
      <c r="F141" s="47" t="s">
        <v>67</v>
      </c>
      <c r="G141" s="52"/>
      <c r="H141" s="40"/>
      <c r="I141" s="244"/>
      <c r="J141" s="244"/>
      <c r="K141" s="244"/>
      <c r="U141" s="40"/>
      <c r="V141" s="40"/>
      <c r="W141" s="40"/>
      <c r="X141" s="40"/>
      <c r="Y141" s="40"/>
      <c r="Z141" s="40"/>
      <c r="AA141" s="40"/>
      <c r="AB141" s="40"/>
    </row>
    <row r="142">
      <c r="A142" s="224" t="s">
        <v>466</v>
      </c>
      <c r="B142" s="224">
        <v>5.0</v>
      </c>
      <c r="C142" s="224"/>
      <c r="D142" s="243">
        <f t="shared" ref="D142:D161" si="40">(B142/160)</f>
        <v>0.03125</v>
      </c>
      <c r="E142" s="85"/>
      <c r="F142" s="85"/>
      <c r="G142" s="86"/>
      <c r="H142" s="250"/>
      <c r="I142" s="244"/>
      <c r="J142" s="244"/>
      <c r="K142" s="244"/>
      <c r="U142" s="40"/>
      <c r="V142" s="40"/>
      <c r="W142" s="40"/>
      <c r="X142" s="40"/>
      <c r="Y142" s="40"/>
      <c r="Z142" s="40"/>
      <c r="AA142" s="40"/>
      <c r="AB142" s="40"/>
    </row>
    <row r="143">
      <c r="A143" s="224" t="s">
        <v>476</v>
      </c>
      <c r="B143" s="224">
        <v>21.0</v>
      </c>
      <c r="C143" s="224"/>
      <c r="D143" s="243">
        <f t="shared" si="40"/>
        <v>0.13125</v>
      </c>
      <c r="E143" s="85"/>
      <c r="F143" s="85"/>
      <c r="G143" s="86"/>
      <c r="H143" s="250"/>
      <c r="I143" s="244"/>
      <c r="J143" s="244"/>
      <c r="K143" s="244"/>
      <c r="U143" s="40"/>
      <c r="V143" s="40"/>
      <c r="W143" s="40"/>
      <c r="X143" s="40"/>
      <c r="Y143" s="40"/>
      <c r="Z143" s="40"/>
      <c r="AA143" s="40"/>
      <c r="AB143" s="40"/>
    </row>
    <row r="144">
      <c r="A144" s="226" t="s">
        <v>482</v>
      </c>
      <c r="B144" s="226">
        <v>26.0</v>
      </c>
      <c r="C144" s="226"/>
      <c r="D144" s="243">
        <f t="shared" si="40"/>
        <v>0.1625</v>
      </c>
      <c r="E144" s="110"/>
      <c r="F144" s="110"/>
      <c r="G144" s="86"/>
      <c r="H144" s="250"/>
      <c r="I144" s="244"/>
      <c r="J144" s="244"/>
      <c r="K144" s="244"/>
      <c r="U144" s="40"/>
      <c r="V144" s="40"/>
      <c r="W144" s="40"/>
      <c r="X144" s="40"/>
      <c r="Y144" s="40"/>
      <c r="Z144" s="40"/>
      <c r="AA144" s="40"/>
      <c r="AB144" s="40"/>
    </row>
    <row r="145">
      <c r="A145" s="224" t="s">
        <v>486</v>
      </c>
      <c r="B145" s="224">
        <v>33.0</v>
      </c>
      <c r="C145" s="224"/>
      <c r="D145" s="243">
        <f t="shared" si="40"/>
        <v>0.20625</v>
      </c>
      <c r="E145" s="85"/>
      <c r="F145" s="85"/>
      <c r="G145" s="86"/>
      <c r="H145" s="250"/>
      <c r="I145" s="244"/>
      <c r="J145" s="244"/>
      <c r="K145" s="244"/>
      <c r="U145" s="40"/>
      <c r="V145" s="40"/>
      <c r="W145" s="40"/>
      <c r="X145" s="40"/>
      <c r="Y145" s="40"/>
      <c r="Z145" s="40"/>
      <c r="AA145" s="40"/>
      <c r="AB145" s="40"/>
    </row>
    <row r="146">
      <c r="A146" s="224" t="s">
        <v>490</v>
      </c>
      <c r="B146" s="224">
        <v>20.0</v>
      </c>
      <c r="C146" s="224"/>
      <c r="D146" s="243">
        <f t="shared" si="40"/>
        <v>0.125</v>
      </c>
      <c r="E146" s="85"/>
      <c r="F146" s="85"/>
      <c r="G146" s="86"/>
      <c r="H146" s="250"/>
      <c r="I146" s="244"/>
      <c r="J146" s="244"/>
      <c r="K146" s="244"/>
      <c r="U146" s="40"/>
      <c r="V146" s="40"/>
      <c r="W146" s="40"/>
      <c r="X146" s="40"/>
      <c r="Y146" s="40"/>
      <c r="Z146" s="40"/>
      <c r="AA146" s="40"/>
      <c r="AB146" s="40"/>
    </row>
    <row r="147">
      <c r="A147" s="226" t="s">
        <v>493</v>
      </c>
      <c r="B147" s="226">
        <v>79.0</v>
      </c>
      <c r="C147" s="226"/>
      <c r="D147" s="243">
        <f t="shared" si="40"/>
        <v>0.49375</v>
      </c>
      <c r="E147" s="110"/>
      <c r="F147" s="110"/>
      <c r="G147" s="86"/>
      <c r="H147" s="250"/>
      <c r="I147" s="244"/>
      <c r="J147" s="244"/>
      <c r="K147" s="244"/>
      <c r="U147" s="40"/>
      <c r="V147" s="40"/>
      <c r="W147" s="40"/>
      <c r="X147" s="40"/>
      <c r="Y147" s="40"/>
      <c r="Z147" s="40"/>
      <c r="AA147" s="40"/>
      <c r="AB147" s="40"/>
    </row>
    <row r="148">
      <c r="A148" s="224" t="s">
        <v>495</v>
      </c>
      <c r="B148" s="224">
        <v>26.0</v>
      </c>
      <c r="C148" s="224"/>
      <c r="D148" s="243">
        <f t="shared" si="40"/>
        <v>0.1625</v>
      </c>
      <c r="E148" s="85"/>
      <c r="F148" s="85"/>
      <c r="G148" s="86"/>
      <c r="H148" s="250"/>
      <c r="I148" s="244"/>
      <c r="J148" s="244"/>
      <c r="K148" s="244"/>
      <c r="U148" s="40"/>
      <c r="V148" s="40"/>
      <c r="W148" s="40"/>
      <c r="X148" s="40"/>
      <c r="Y148" s="40"/>
      <c r="Z148" s="40"/>
      <c r="AA148" s="40"/>
      <c r="AB148" s="40"/>
    </row>
    <row r="149">
      <c r="A149" s="224" t="s">
        <v>498</v>
      </c>
      <c r="B149" s="224">
        <v>12.0</v>
      </c>
      <c r="C149" s="224"/>
      <c r="D149" s="243">
        <f t="shared" si="40"/>
        <v>0.075</v>
      </c>
      <c r="E149" s="85"/>
      <c r="F149" s="85"/>
      <c r="G149" s="86"/>
      <c r="H149" s="250"/>
      <c r="I149" s="244"/>
      <c r="J149" s="244"/>
      <c r="K149" s="244"/>
      <c r="U149" s="40"/>
      <c r="V149" s="40"/>
      <c r="W149" s="40"/>
      <c r="X149" s="40"/>
      <c r="Y149" s="40"/>
      <c r="Z149" s="40"/>
      <c r="AA149" s="40"/>
      <c r="AB149" s="40"/>
    </row>
    <row r="150">
      <c r="A150" s="228" t="s">
        <v>501</v>
      </c>
      <c r="B150" s="228">
        <v>117.0</v>
      </c>
      <c r="C150" s="228"/>
      <c r="D150" s="251">
        <f t="shared" si="40"/>
        <v>0.73125</v>
      </c>
      <c r="E150" s="110"/>
      <c r="F150" s="110"/>
      <c r="G150" s="86"/>
      <c r="H150" s="250"/>
      <c r="I150" s="244"/>
      <c r="J150" s="244"/>
      <c r="K150" s="244"/>
      <c r="U150" s="40"/>
      <c r="V150" s="40"/>
      <c r="W150" s="40"/>
      <c r="X150" s="40"/>
      <c r="Y150" s="40"/>
      <c r="Z150" s="40"/>
      <c r="AA150" s="40"/>
      <c r="AB150" s="40"/>
    </row>
    <row r="151">
      <c r="A151" s="224" t="s">
        <v>504</v>
      </c>
      <c r="B151" s="224">
        <v>12.0</v>
      </c>
      <c r="C151" s="224"/>
      <c r="D151" s="243">
        <f t="shared" si="40"/>
        <v>0.075</v>
      </c>
      <c r="E151" s="85"/>
      <c r="F151" s="85"/>
      <c r="G151" s="86"/>
      <c r="H151" s="250"/>
      <c r="I151" s="244"/>
      <c r="J151" s="244"/>
      <c r="K151" s="244"/>
      <c r="U151" s="40"/>
      <c r="V151" s="40"/>
      <c r="W151" s="40"/>
      <c r="X151" s="40"/>
      <c r="Y151" s="40"/>
      <c r="Z151" s="40"/>
      <c r="AA151" s="40"/>
      <c r="AB151" s="40"/>
    </row>
    <row r="152">
      <c r="A152" s="224" t="s">
        <v>507</v>
      </c>
      <c r="B152" s="224">
        <v>3.0</v>
      </c>
      <c r="C152" s="224"/>
      <c r="D152" s="243">
        <f t="shared" si="40"/>
        <v>0.01875</v>
      </c>
      <c r="E152" s="85"/>
      <c r="F152" s="85"/>
      <c r="G152" s="86"/>
      <c r="H152" s="250"/>
      <c r="I152" s="244"/>
      <c r="J152" s="244"/>
      <c r="K152" s="244"/>
      <c r="U152" s="40"/>
      <c r="V152" s="40"/>
      <c r="W152" s="40"/>
      <c r="X152" s="40"/>
      <c r="Y152" s="40"/>
      <c r="Z152" s="40"/>
      <c r="AA152" s="40"/>
      <c r="AB152" s="40"/>
    </row>
    <row r="153">
      <c r="A153" s="226" t="s">
        <v>510</v>
      </c>
      <c r="B153" s="226">
        <v>132.0</v>
      </c>
      <c r="C153" s="226"/>
      <c r="D153" s="243">
        <f t="shared" si="40"/>
        <v>0.825</v>
      </c>
      <c r="E153" s="110"/>
      <c r="F153" s="110"/>
      <c r="G153" s="86"/>
      <c r="H153" s="250"/>
      <c r="I153" s="244"/>
      <c r="J153" s="244"/>
      <c r="K153" s="244"/>
      <c r="U153" s="40"/>
      <c r="V153" s="40"/>
      <c r="W153" s="40"/>
      <c r="X153" s="40"/>
      <c r="Y153" s="40"/>
      <c r="Z153" s="40"/>
      <c r="AA153" s="40"/>
      <c r="AB153" s="40"/>
    </row>
    <row r="154">
      <c r="A154" s="224" t="s">
        <v>513</v>
      </c>
      <c r="B154" s="224">
        <v>11.0</v>
      </c>
      <c r="C154" s="224"/>
      <c r="D154" s="243">
        <f t="shared" si="40"/>
        <v>0.06875</v>
      </c>
      <c r="E154" s="85"/>
      <c r="F154" s="85"/>
      <c r="G154" s="86"/>
      <c r="H154" s="250"/>
      <c r="I154" s="244"/>
      <c r="J154" s="244"/>
      <c r="K154" s="244"/>
      <c r="U154" s="40"/>
      <c r="V154" s="40"/>
      <c r="W154" s="40"/>
      <c r="X154" s="40"/>
      <c r="Y154" s="40"/>
      <c r="Z154" s="40"/>
      <c r="AA154" s="40"/>
      <c r="AB154" s="40"/>
    </row>
    <row r="155">
      <c r="A155" s="224" t="s">
        <v>516</v>
      </c>
      <c r="B155" s="224">
        <v>6.0</v>
      </c>
      <c r="C155" s="224"/>
      <c r="D155" s="243">
        <f t="shared" si="40"/>
        <v>0.0375</v>
      </c>
      <c r="E155" s="85"/>
      <c r="F155" s="85"/>
      <c r="G155" s="86"/>
      <c r="H155" s="250"/>
      <c r="I155" s="244"/>
      <c r="J155" s="244"/>
      <c r="K155" s="244"/>
      <c r="U155" s="40"/>
      <c r="V155" s="40"/>
      <c r="W155" s="40"/>
      <c r="X155" s="40"/>
      <c r="Y155" s="40"/>
      <c r="Z155" s="40"/>
      <c r="AA155" s="40"/>
      <c r="AB155" s="40"/>
    </row>
    <row r="156">
      <c r="A156" s="226" t="s">
        <v>517</v>
      </c>
      <c r="B156" s="226">
        <v>149.0</v>
      </c>
      <c r="C156" s="226"/>
      <c r="D156" s="243">
        <f t="shared" si="40"/>
        <v>0.93125</v>
      </c>
      <c r="E156" s="110"/>
      <c r="F156" s="110"/>
      <c r="G156" s="86"/>
      <c r="H156" s="250"/>
      <c r="I156" s="244"/>
      <c r="J156" s="244"/>
      <c r="K156" s="244"/>
      <c r="U156" s="40"/>
      <c r="V156" s="40"/>
      <c r="W156" s="40"/>
      <c r="X156" s="40"/>
      <c r="Y156" s="40"/>
      <c r="Z156" s="40"/>
      <c r="AA156" s="40"/>
      <c r="AB156" s="40"/>
    </row>
    <row r="157">
      <c r="A157" s="224" t="s">
        <v>520</v>
      </c>
      <c r="B157" s="224">
        <v>3.0</v>
      </c>
      <c r="C157" s="224"/>
      <c r="D157" s="243">
        <f t="shared" si="40"/>
        <v>0.01875</v>
      </c>
      <c r="E157" s="85"/>
      <c r="F157" s="85"/>
      <c r="G157" s="86"/>
      <c r="H157" s="250"/>
      <c r="I157" s="244"/>
      <c r="J157" s="244"/>
      <c r="K157" s="244"/>
      <c r="U157" s="40"/>
      <c r="V157" s="40"/>
      <c r="W157" s="40"/>
      <c r="X157" s="40"/>
      <c r="Y157" s="40"/>
      <c r="Z157" s="40"/>
      <c r="AA157" s="40"/>
      <c r="AB157" s="40"/>
    </row>
    <row r="158">
      <c r="A158" s="224" t="s">
        <v>524</v>
      </c>
      <c r="B158" s="224">
        <v>3.0</v>
      </c>
      <c r="C158" s="224"/>
      <c r="D158" s="243">
        <f t="shared" si="40"/>
        <v>0.01875</v>
      </c>
      <c r="E158" s="85"/>
      <c r="F158" s="85"/>
      <c r="G158" s="86"/>
      <c r="H158" s="250"/>
      <c r="I158" s="244"/>
      <c r="J158" s="244"/>
      <c r="K158" s="244"/>
      <c r="U158" s="40"/>
      <c r="V158" s="40"/>
      <c r="W158" s="40"/>
      <c r="X158" s="40"/>
      <c r="Y158" s="40"/>
      <c r="Z158" s="40"/>
      <c r="AA158" s="40"/>
      <c r="AB158" s="40"/>
    </row>
    <row r="159">
      <c r="A159" s="226" t="s">
        <v>527</v>
      </c>
      <c r="B159" s="226">
        <v>155.0</v>
      </c>
      <c r="C159" s="226"/>
      <c r="D159" s="243">
        <f t="shared" si="40"/>
        <v>0.96875</v>
      </c>
      <c r="E159" s="110"/>
      <c r="F159" s="110"/>
      <c r="G159" s="86"/>
      <c r="H159" s="250"/>
      <c r="I159" s="244"/>
      <c r="J159" s="244"/>
      <c r="K159" s="244"/>
      <c r="U159" s="40"/>
      <c r="V159" s="40"/>
      <c r="W159" s="40"/>
      <c r="X159" s="40"/>
      <c r="Y159" s="40"/>
      <c r="Z159" s="40"/>
      <c r="AA159" s="40"/>
      <c r="AB159" s="40"/>
    </row>
    <row r="160">
      <c r="A160" s="224" t="s">
        <v>529</v>
      </c>
      <c r="B160" s="224">
        <v>2.0</v>
      </c>
      <c r="C160" s="224"/>
      <c r="D160" s="243">
        <f t="shared" si="40"/>
        <v>0.0125</v>
      </c>
      <c r="E160" s="85"/>
      <c r="F160" s="85"/>
      <c r="G160" s="86"/>
      <c r="H160" s="250"/>
      <c r="I160" s="244"/>
      <c r="J160" s="244"/>
      <c r="K160" s="244"/>
      <c r="U160" s="40"/>
      <c r="V160" s="40"/>
      <c r="W160" s="40"/>
      <c r="X160" s="40"/>
      <c r="Y160" s="40"/>
      <c r="Z160" s="40"/>
      <c r="AA160" s="40"/>
      <c r="AB160" s="40"/>
    </row>
    <row r="161">
      <c r="A161" s="224" t="s">
        <v>532</v>
      </c>
      <c r="B161" s="224">
        <v>3.0</v>
      </c>
      <c r="C161" s="224"/>
      <c r="D161" s="243">
        <f t="shared" si="40"/>
        <v>0.01875</v>
      </c>
      <c r="E161" s="85"/>
      <c r="F161" s="85"/>
      <c r="G161" s="86"/>
      <c r="H161" s="250"/>
      <c r="I161" s="244"/>
      <c r="J161" s="244"/>
      <c r="K161" s="244"/>
      <c r="U161" s="40"/>
      <c r="V161" s="40"/>
      <c r="W161" s="40"/>
      <c r="X161" s="40"/>
      <c r="Y161" s="40"/>
      <c r="Z161" s="40"/>
      <c r="AA161" s="40"/>
      <c r="AB161" s="40"/>
    </row>
    <row r="162">
      <c r="G162" s="9"/>
      <c r="I162" s="244"/>
      <c r="J162" s="244"/>
      <c r="K162" s="244"/>
      <c r="U162" s="40"/>
      <c r="V162" s="40"/>
      <c r="W162" s="40"/>
      <c r="X162" s="40"/>
      <c r="Y162" s="40"/>
      <c r="Z162" s="40"/>
      <c r="AA162" s="40"/>
      <c r="AB162" s="40"/>
    </row>
    <row r="163">
      <c r="A163" s="186" t="s">
        <v>540</v>
      </c>
      <c r="B163" s="4"/>
      <c r="C163" s="4"/>
      <c r="D163" s="4"/>
      <c r="E163" s="4"/>
      <c r="F163" s="4"/>
      <c r="G163" s="5"/>
      <c r="H163" s="40"/>
      <c r="I163" s="244"/>
      <c r="J163" s="244"/>
      <c r="K163" s="244"/>
      <c r="U163" s="40"/>
      <c r="V163" s="40"/>
      <c r="W163" s="40"/>
      <c r="X163" s="40"/>
      <c r="Y163" s="40"/>
      <c r="Z163" s="40"/>
      <c r="AA163" s="40"/>
      <c r="AB163" s="40"/>
    </row>
    <row r="164">
      <c r="A164" s="44"/>
      <c r="B164" s="44" t="s">
        <v>57</v>
      </c>
      <c r="C164" s="44"/>
      <c r="D164" s="47" t="s">
        <v>75</v>
      </c>
      <c r="E164" s="44" t="s">
        <v>64</v>
      </c>
      <c r="F164" s="47" t="s">
        <v>67</v>
      </c>
      <c r="G164" s="52"/>
      <c r="H164" s="40"/>
      <c r="I164" s="244"/>
      <c r="J164" s="244"/>
      <c r="K164" s="244"/>
      <c r="U164" s="40"/>
      <c r="V164" s="40"/>
      <c r="W164" s="40"/>
      <c r="X164" s="40"/>
      <c r="Y164" s="40"/>
      <c r="Z164" s="40"/>
      <c r="AA164" s="40"/>
      <c r="AB164" s="40"/>
    </row>
    <row r="165">
      <c r="A165" s="252" t="s">
        <v>466</v>
      </c>
      <c r="B165" s="253">
        <v>2.0</v>
      </c>
      <c r="C165" s="253"/>
      <c r="D165" s="254">
        <f t="shared" ref="D165:D184" si="41">(B165/160)</f>
        <v>0.0125</v>
      </c>
      <c r="E165" s="85"/>
      <c r="F165" s="85"/>
      <c r="G165" s="86"/>
      <c r="H165" s="250"/>
      <c r="I165" s="244"/>
      <c r="J165" s="244"/>
      <c r="K165" s="244"/>
      <c r="U165" s="40"/>
      <c r="V165" s="40"/>
      <c r="W165" s="40"/>
      <c r="X165" s="40"/>
      <c r="Y165" s="40"/>
      <c r="Z165" s="40"/>
      <c r="AA165" s="40"/>
      <c r="AB165" s="40"/>
    </row>
    <row r="166">
      <c r="A166" s="252" t="s">
        <v>476</v>
      </c>
      <c r="B166" s="253">
        <v>13.0</v>
      </c>
      <c r="C166" s="253"/>
      <c r="D166" s="254">
        <f t="shared" si="41"/>
        <v>0.08125</v>
      </c>
      <c r="E166" s="85"/>
      <c r="F166" s="85"/>
      <c r="G166" s="86"/>
      <c r="H166" s="250"/>
      <c r="I166" s="244"/>
      <c r="J166" s="244"/>
      <c r="K166" s="244"/>
      <c r="U166" s="40"/>
      <c r="V166" s="40"/>
      <c r="W166" s="40"/>
      <c r="X166" s="40"/>
      <c r="Y166" s="40"/>
      <c r="Z166" s="40"/>
      <c r="AA166" s="40"/>
      <c r="AB166" s="40"/>
    </row>
    <row r="167">
      <c r="A167" s="255" t="s">
        <v>482</v>
      </c>
      <c r="B167" s="256">
        <v>15.0</v>
      </c>
      <c r="C167" s="256"/>
      <c r="D167" s="257">
        <f t="shared" si="41"/>
        <v>0.09375</v>
      </c>
      <c r="E167" s="110"/>
      <c r="F167" s="110"/>
      <c r="G167" s="86"/>
      <c r="H167" s="250"/>
      <c r="I167" s="244"/>
      <c r="J167" s="244"/>
      <c r="K167" s="244"/>
      <c r="U167" s="40"/>
      <c r="V167" s="40"/>
      <c r="W167" s="40"/>
      <c r="X167" s="40"/>
      <c r="Y167" s="40"/>
      <c r="Z167" s="40"/>
      <c r="AA167" s="40"/>
      <c r="AB167" s="40"/>
    </row>
    <row r="168">
      <c r="A168" s="252" t="s">
        <v>486</v>
      </c>
      <c r="B168" s="253">
        <v>14.0</v>
      </c>
      <c r="C168" s="253"/>
      <c r="D168" s="254">
        <f t="shared" si="41"/>
        <v>0.0875</v>
      </c>
      <c r="E168" s="85"/>
      <c r="F168" s="85"/>
      <c r="G168" s="86"/>
      <c r="H168" s="250"/>
      <c r="I168" s="244"/>
      <c r="J168" s="244"/>
      <c r="K168" s="244"/>
      <c r="U168" s="40"/>
      <c r="V168" s="40"/>
      <c r="W168" s="40"/>
      <c r="X168" s="40"/>
      <c r="Y168" s="40"/>
      <c r="Z168" s="40"/>
      <c r="AA168" s="40"/>
      <c r="AB168" s="40"/>
    </row>
    <row r="169">
      <c r="A169" s="252" t="s">
        <v>490</v>
      </c>
      <c r="B169" s="253">
        <v>17.0</v>
      </c>
      <c r="C169" s="253"/>
      <c r="D169" s="254">
        <f t="shared" si="41"/>
        <v>0.10625</v>
      </c>
      <c r="E169" s="85"/>
      <c r="F169" s="85"/>
      <c r="G169" s="86"/>
      <c r="H169" s="250"/>
      <c r="I169" s="244"/>
      <c r="J169" s="244"/>
      <c r="K169" s="244"/>
      <c r="U169" s="40"/>
      <c r="V169" s="40"/>
      <c r="W169" s="40"/>
      <c r="X169" s="40"/>
      <c r="Y169" s="40"/>
      <c r="Z169" s="40"/>
      <c r="AA169" s="40"/>
      <c r="AB169" s="40"/>
    </row>
    <row r="170">
      <c r="A170" s="255" t="s">
        <v>493</v>
      </c>
      <c r="B170" s="256">
        <v>46.0</v>
      </c>
      <c r="C170" s="256"/>
      <c r="D170" s="257">
        <f t="shared" si="41"/>
        <v>0.2875</v>
      </c>
      <c r="E170" s="110"/>
      <c r="F170" s="110"/>
      <c r="G170" s="86"/>
      <c r="H170" s="250"/>
      <c r="I170" s="244"/>
      <c r="J170" s="244"/>
      <c r="K170" s="244"/>
      <c r="U170" s="40"/>
      <c r="V170" s="40"/>
      <c r="W170" s="40"/>
      <c r="X170" s="40"/>
      <c r="Y170" s="40"/>
      <c r="Z170" s="40"/>
      <c r="AA170" s="40"/>
      <c r="AB170" s="40"/>
    </row>
    <row r="171">
      <c r="A171" s="252" t="s">
        <v>495</v>
      </c>
      <c r="B171" s="253">
        <v>19.0</v>
      </c>
      <c r="C171" s="253"/>
      <c r="D171" s="254">
        <f t="shared" si="41"/>
        <v>0.11875</v>
      </c>
      <c r="E171" s="85"/>
      <c r="F171" s="85"/>
      <c r="G171" s="86"/>
      <c r="H171" s="250"/>
      <c r="I171" s="244"/>
      <c r="J171" s="244"/>
      <c r="K171" s="244"/>
      <c r="U171" s="40"/>
      <c r="V171" s="40"/>
      <c r="W171" s="40"/>
      <c r="X171" s="40"/>
      <c r="Y171" s="40"/>
      <c r="Z171" s="40"/>
      <c r="AA171" s="40"/>
      <c r="AB171" s="40"/>
    </row>
    <row r="172">
      <c r="A172" s="252" t="s">
        <v>498</v>
      </c>
      <c r="B172" s="253">
        <v>17.0</v>
      </c>
      <c r="C172" s="253"/>
      <c r="D172" s="254">
        <f t="shared" si="41"/>
        <v>0.10625</v>
      </c>
      <c r="E172" s="85"/>
      <c r="F172" s="85"/>
      <c r="G172" s="86"/>
      <c r="H172" s="250"/>
      <c r="I172" s="244"/>
      <c r="J172" s="244"/>
      <c r="K172" s="244"/>
      <c r="U172" s="40"/>
      <c r="V172" s="40"/>
      <c r="W172" s="40"/>
      <c r="X172" s="40"/>
      <c r="Y172" s="40"/>
      <c r="Z172" s="40"/>
      <c r="AA172" s="40"/>
      <c r="AB172" s="40"/>
    </row>
    <row r="173">
      <c r="A173" s="258" t="s">
        <v>501</v>
      </c>
      <c r="B173" s="259">
        <v>82.0</v>
      </c>
      <c r="C173" s="259"/>
      <c r="D173" s="260">
        <f t="shared" si="41"/>
        <v>0.5125</v>
      </c>
      <c r="E173" s="110"/>
      <c r="F173" s="110"/>
      <c r="G173" s="86"/>
      <c r="H173" s="250"/>
      <c r="I173" s="244"/>
      <c r="J173" s="244"/>
      <c r="K173" s="244"/>
      <c r="U173" s="40"/>
      <c r="V173" s="40"/>
      <c r="W173" s="40"/>
      <c r="X173" s="40"/>
      <c r="Y173" s="40"/>
      <c r="Z173" s="40"/>
      <c r="AA173" s="40"/>
      <c r="AB173" s="40"/>
    </row>
    <row r="174">
      <c r="A174" s="252" t="s">
        <v>504</v>
      </c>
      <c r="B174" s="253">
        <v>16.0</v>
      </c>
      <c r="C174" s="253"/>
      <c r="D174" s="254">
        <f t="shared" si="41"/>
        <v>0.1</v>
      </c>
      <c r="E174" s="85"/>
      <c r="F174" s="85"/>
      <c r="G174" s="86"/>
      <c r="H174" s="250"/>
      <c r="I174" s="244"/>
      <c r="J174" s="244"/>
      <c r="K174" s="244"/>
      <c r="U174" s="40"/>
      <c r="V174" s="40"/>
      <c r="W174" s="40"/>
      <c r="X174" s="40"/>
      <c r="Y174" s="40"/>
      <c r="Z174" s="40"/>
      <c r="AA174" s="40"/>
      <c r="AB174" s="40"/>
    </row>
    <row r="175">
      <c r="A175" s="252" t="s">
        <v>507</v>
      </c>
      <c r="B175" s="253">
        <v>14.0</v>
      </c>
      <c r="C175" s="253"/>
      <c r="D175" s="254">
        <f t="shared" si="41"/>
        <v>0.0875</v>
      </c>
      <c r="E175" s="85"/>
      <c r="F175" s="85"/>
      <c r="G175" s="86"/>
      <c r="H175" s="250"/>
      <c r="I175" s="244"/>
      <c r="J175" s="244"/>
      <c r="K175" s="244"/>
      <c r="U175" s="40"/>
      <c r="V175" s="40"/>
      <c r="W175" s="40"/>
      <c r="X175" s="40"/>
      <c r="Y175" s="40"/>
      <c r="Z175" s="40"/>
      <c r="AA175" s="40"/>
      <c r="AB175" s="40"/>
    </row>
    <row r="176">
      <c r="A176" s="255" t="s">
        <v>510</v>
      </c>
      <c r="B176" s="256">
        <v>112.0</v>
      </c>
      <c r="C176" s="256"/>
      <c r="D176" s="257">
        <f t="shared" si="41"/>
        <v>0.7</v>
      </c>
      <c r="E176" s="110"/>
      <c r="F176" s="110"/>
      <c r="G176" s="86"/>
      <c r="H176" s="250"/>
      <c r="I176" s="244"/>
      <c r="J176" s="244"/>
      <c r="K176" s="244"/>
      <c r="U176" s="40"/>
      <c r="V176" s="40"/>
      <c r="W176" s="40"/>
      <c r="X176" s="40"/>
      <c r="Y176" s="40"/>
      <c r="Z176" s="40"/>
      <c r="AA176" s="40"/>
      <c r="AB176" s="40"/>
    </row>
    <row r="177">
      <c r="A177" s="252" t="s">
        <v>513</v>
      </c>
      <c r="B177" s="253">
        <v>11.0</v>
      </c>
      <c r="C177" s="253"/>
      <c r="D177" s="254">
        <f t="shared" si="41"/>
        <v>0.06875</v>
      </c>
      <c r="E177" s="85"/>
      <c r="F177" s="85"/>
      <c r="G177" s="86"/>
      <c r="H177" s="250"/>
      <c r="I177" s="244"/>
      <c r="J177" s="244"/>
      <c r="K177" s="244"/>
      <c r="U177" s="40"/>
      <c r="V177" s="40"/>
      <c r="W177" s="40"/>
      <c r="X177" s="40"/>
      <c r="Y177" s="40"/>
      <c r="Z177" s="40"/>
      <c r="AA177" s="40"/>
      <c r="AB177" s="40"/>
    </row>
    <row r="178">
      <c r="A178" s="252" t="s">
        <v>516</v>
      </c>
      <c r="B178" s="253">
        <v>9.0</v>
      </c>
      <c r="C178" s="253"/>
      <c r="D178" s="254">
        <f t="shared" si="41"/>
        <v>0.05625</v>
      </c>
      <c r="E178" s="85"/>
      <c r="F178" s="85"/>
      <c r="G178" s="86"/>
      <c r="H178" s="250"/>
      <c r="I178" s="244"/>
      <c r="J178" s="244"/>
      <c r="K178" s="244"/>
      <c r="U178" s="40"/>
      <c r="V178" s="40"/>
      <c r="W178" s="40"/>
      <c r="X178" s="40"/>
      <c r="Y178" s="40"/>
      <c r="Z178" s="40"/>
      <c r="AA178" s="40"/>
      <c r="AB178" s="40"/>
    </row>
    <row r="179">
      <c r="A179" s="255" t="s">
        <v>517</v>
      </c>
      <c r="B179" s="256">
        <v>132.0</v>
      </c>
      <c r="C179" s="256"/>
      <c r="D179" s="257">
        <f t="shared" si="41"/>
        <v>0.825</v>
      </c>
      <c r="E179" s="110"/>
      <c r="F179" s="110"/>
      <c r="G179" s="86"/>
      <c r="H179" s="250"/>
      <c r="I179" s="244"/>
      <c r="J179" s="244"/>
      <c r="K179" s="244"/>
      <c r="U179" s="40"/>
      <c r="V179" s="40"/>
      <c r="W179" s="40"/>
      <c r="X179" s="40"/>
      <c r="Y179" s="40"/>
      <c r="Z179" s="40"/>
      <c r="AA179" s="40"/>
      <c r="AB179" s="40"/>
    </row>
    <row r="180">
      <c r="A180" s="252" t="s">
        <v>520</v>
      </c>
      <c r="B180" s="253">
        <v>9.0</v>
      </c>
      <c r="C180" s="253"/>
      <c r="D180" s="254">
        <f t="shared" si="41"/>
        <v>0.05625</v>
      </c>
      <c r="E180" s="85"/>
      <c r="F180" s="85"/>
      <c r="G180" s="86"/>
      <c r="H180" s="250"/>
      <c r="I180" s="244"/>
      <c r="J180" s="244"/>
      <c r="K180" s="244"/>
      <c r="U180" s="40"/>
      <c r="V180" s="40"/>
      <c r="W180" s="40"/>
      <c r="X180" s="40"/>
      <c r="Y180" s="40"/>
      <c r="Z180" s="40"/>
      <c r="AA180" s="40"/>
      <c r="AB180" s="40"/>
    </row>
    <row r="181">
      <c r="A181" s="252" t="s">
        <v>524</v>
      </c>
      <c r="B181" s="253">
        <v>6.0</v>
      </c>
      <c r="C181" s="253"/>
      <c r="D181" s="254">
        <f t="shared" si="41"/>
        <v>0.0375</v>
      </c>
      <c r="E181" s="85"/>
      <c r="F181" s="85"/>
      <c r="G181" s="86"/>
      <c r="H181" s="250"/>
      <c r="I181" s="244"/>
      <c r="J181" s="244"/>
      <c r="K181" s="244"/>
      <c r="U181" s="40"/>
      <c r="V181" s="40"/>
      <c r="W181" s="40"/>
      <c r="X181" s="40"/>
      <c r="Y181" s="40"/>
      <c r="Z181" s="40"/>
      <c r="AA181" s="40"/>
      <c r="AB181" s="40"/>
    </row>
    <row r="182">
      <c r="A182" s="255" t="s">
        <v>527</v>
      </c>
      <c r="B182" s="256">
        <v>147.0</v>
      </c>
      <c r="C182" s="256"/>
      <c r="D182" s="257">
        <f t="shared" si="41"/>
        <v>0.91875</v>
      </c>
      <c r="E182" s="110"/>
      <c r="F182" s="110"/>
      <c r="G182" s="86"/>
      <c r="H182" s="250"/>
      <c r="I182" s="244"/>
      <c r="J182" s="244"/>
      <c r="K182" s="244"/>
      <c r="U182" s="40"/>
      <c r="V182" s="40"/>
      <c r="W182" s="40"/>
      <c r="X182" s="40"/>
      <c r="Y182" s="40"/>
      <c r="Z182" s="40"/>
      <c r="AA182" s="40"/>
      <c r="AB182" s="40"/>
    </row>
    <row r="183">
      <c r="A183" s="252" t="s">
        <v>529</v>
      </c>
      <c r="B183" s="253">
        <v>8.0</v>
      </c>
      <c r="C183" s="253"/>
      <c r="D183" s="254">
        <f t="shared" si="41"/>
        <v>0.05</v>
      </c>
      <c r="E183" s="85"/>
      <c r="F183" s="85"/>
      <c r="G183" s="86"/>
      <c r="H183" s="250"/>
      <c r="I183" s="244"/>
      <c r="J183" s="244"/>
      <c r="K183" s="244"/>
      <c r="U183" s="40"/>
      <c r="V183" s="40"/>
      <c r="W183" s="40"/>
      <c r="X183" s="40"/>
      <c r="Y183" s="40"/>
      <c r="Z183" s="40"/>
      <c r="AA183" s="40"/>
      <c r="AB183" s="40"/>
    </row>
    <row r="184">
      <c r="A184" s="252" t="s">
        <v>532</v>
      </c>
      <c r="B184" s="253">
        <v>5.0</v>
      </c>
      <c r="C184" s="253"/>
      <c r="D184" s="254">
        <f t="shared" si="41"/>
        <v>0.03125</v>
      </c>
      <c r="E184" s="85"/>
      <c r="F184" s="85"/>
      <c r="G184" s="86"/>
      <c r="H184" s="250"/>
      <c r="I184" s="244"/>
      <c r="J184" s="244"/>
      <c r="K184" s="244"/>
      <c r="U184" s="40"/>
      <c r="V184" s="40"/>
      <c r="W184" s="40"/>
      <c r="X184" s="40"/>
      <c r="Y184" s="40"/>
      <c r="Z184" s="40"/>
      <c r="AA184" s="40"/>
      <c r="AB184" s="40"/>
    </row>
    <row r="185">
      <c r="G185" s="9"/>
      <c r="I185" s="244"/>
      <c r="J185" s="244"/>
      <c r="K185" s="244"/>
      <c r="U185" s="40"/>
      <c r="V185" s="40"/>
      <c r="W185" s="40"/>
      <c r="X185" s="40"/>
      <c r="Y185" s="40"/>
      <c r="Z185" s="40"/>
      <c r="AA185" s="40"/>
      <c r="AB185" s="40"/>
    </row>
    <row r="186">
      <c r="A186" s="186" t="s">
        <v>541</v>
      </c>
      <c r="B186" s="4"/>
      <c r="C186" s="4"/>
      <c r="D186" s="4"/>
      <c r="E186" s="4"/>
      <c r="F186" s="4"/>
      <c r="G186" s="5"/>
      <c r="H186" s="40"/>
      <c r="I186" s="244"/>
      <c r="J186" s="244"/>
      <c r="K186" s="244"/>
      <c r="U186" s="40"/>
      <c r="V186" s="40"/>
      <c r="W186" s="40"/>
      <c r="X186" s="40"/>
      <c r="Y186" s="40"/>
      <c r="Z186" s="40"/>
      <c r="AA186" s="40"/>
      <c r="AB186" s="40"/>
    </row>
    <row r="187">
      <c r="A187" s="44"/>
      <c r="B187" s="44" t="s">
        <v>57</v>
      </c>
      <c r="C187" s="44"/>
      <c r="D187" s="47" t="s">
        <v>75</v>
      </c>
      <c r="E187" s="44" t="s">
        <v>64</v>
      </c>
      <c r="F187" s="47" t="s">
        <v>67</v>
      </c>
      <c r="G187" s="52"/>
      <c r="H187" s="40"/>
      <c r="I187" s="244"/>
      <c r="J187" s="244"/>
      <c r="K187" s="244"/>
      <c r="U187" s="40"/>
      <c r="V187" s="40"/>
      <c r="W187" s="40"/>
      <c r="X187" s="40"/>
      <c r="Y187" s="40"/>
      <c r="Z187" s="40"/>
      <c r="AA187" s="40"/>
      <c r="AB187" s="40"/>
    </row>
    <row r="188">
      <c r="A188" s="261" t="s">
        <v>466</v>
      </c>
      <c r="B188" s="213">
        <v>26.0</v>
      </c>
      <c r="C188" s="213"/>
      <c r="D188" s="243">
        <f t="shared" ref="D188:D207" si="42">(B188/160)</f>
        <v>0.1625</v>
      </c>
      <c r="E188" s="85"/>
      <c r="F188" s="85"/>
      <c r="G188" s="86"/>
      <c r="H188" s="250"/>
      <c r="I188" s="244"/>
      <c r="J188" s="244"/>
      <c r="K188" s="244"/>
      <c r="U188" s="40"/>
      <c r="V188" s="40"/>
      <c r="W188" s="40"/>
      <c r="X188" s="40"/>
      <c r="Y188" s="40"/>
      <c r="Z188" s="40"/>
      <c r="AA188" s="40"/>
      <c r="AB188" s="40"/>
    </row>
    <row r="189">
      <c r="A189" s="261" t="s">
        <v>476</v>
      </c>
      <c r="B189" s="213">
        <v>33.0</v>
      </c>
      <c r="C189" s="213"/>
      <c r="D189" s="243">
        <f t="shared" si="42"/>
        <v>0.20625</v>
      </c>
      <c r="E189" s="85"/>
      <c r="F189" s="85"/>
      <c r="G189" s="86"/>
      <c r="H189" s="250"/>
      <c r="I189" s="244"/>
      <c r="J189" s="244"/>
      <c r="K189" s="244"/>
      <c r="U189" s="40"/>
      <c r="V189" s="40"/>
      <c r="W189" s="40"/>
      <c r="X189" s="40"/>
      <c r="Y189" s="40"/>
      <c r="Z189" s="40"/>
      <c r="AA189" s="40"/>
      <c r="AB189" s="40"/>
    </row>
    <row r="190">
      <c r="A190" s="261" t="s">
        <v>482</v>
      </c>
      <c r="B190" s="213">
        <v>59.0</v>
      </c>
      <c r="C190" s="213"/>
      <c r="D190" s="243">
        <f t="shared" si="42"/>
        <v>0.36875</v>
      </c>
      <c r="E190" s="110"/>
      <c r="F190" s="110"/>
      <c r="G190" s="86"/>
      <c r="H190" s="250"/>
      <c r="I190" s="244"/>
      <c r="J190" s="244"/>
      <c r="K190" s="244"/>
      <c r="U190" s="40"/>
      <c r="V190" s="40"/>
      <c r="W190" s="40"/>
      <c r="X190" s="40"/>
      <c r="Y190" s="40"/>
      <c r="Z190" s="40"/>
      <c r="AA190" s="40"/>
      <c r="AB190" s="40"/>
    </row>
    <row r="191">
      <c r="A191" s="261" t="s">
        <v>486</v>
      </c>
      <c r="B191" s="213">
        <v>32.0</v>
      </c>
      <c r="C191" s="213"/>
      <c r="D191" s="243">
        <f t="shared" si="42"/>
        <v>0.2</v>
      </c>
      <c r="E191" s="85"/>
      <c r="F191" s="85"/>
      <c r="G191" s="86"/>
      <c r="H191" s="250"/>
      <c r="I191" s="244"/>
      <c r="J191" s="244"/>
      <c r="K191" s="244"/>
      <c r="U191" s="40"/>
      <c r="V191" s="40"/>
      <c r="W191" s="40"/>
      <c r="X191" s="40"/>
      <c r="Y191" s="40"/>
      <c r="Z191" s="40"/>
      <c r="AA191" s="40"/>
      <c r="AB191" s="40"/>
    </row>
    <row r="192">
      <c r="A192" s="261" t="s">
        <v>490</v>
      </c>
      <c r="B192" s="213">
        <v>23.0</v>
      </c>
      <c r="C192" s="213"/>
      <c r="D192" s="243">
        <f t="shared" si="42"/>
        <v>0.14375</v>
      </c>
      <c r="E192" s="85"/>
      <c r="F192" s="85"/>
      <c r="G192" s="86"/>
      <c r="H192" s="250"/>
      <c r="I192" s="244"/>
      <c r="J192" s="244"/>
      <c r="K192" s="244"/>
      <c r="U192" s="40"/>
      <c r="V192" s="40"/>
      <c r="W192" s="40"/>
      <c r="X192" s="40"/>
      <c r="Y192" s="40"/>
      <c r="Z192" s="40"/>
      <c r="AA192" s="40"/>
      <c r="AB192" s="40"/>
    </row>
    <row r="193">
      <c r="A193" s="261" t="s">
        <v>493</v>
      </c>
      <c r="B193" s="213">
        <v>114.0</v>
      </c>
      <c r="C193" s="213"/>
      <c r="D193" s="243">
        <f t="shared" si="42"/>
        <v>0.7125</v>
      </c>
      <c r="E193" s="110"/>
      <c r="F193" s="110"/>
      <c r="G193" s="86"/>
      <c r="H193" s="250"/>
      <c r="I193" s="244"/>
      <c r="J193" s="244"/>
      <c r="K193" s="244"/>
      <c r="U193" s="40"/>
      <c r="V193" s="40"/>
      <c r="W193" s="40"/>
      <c r="X193" s="40"/>
      <c r="Y193" s="40"/>
      <c r="Z193" s="40"/>
      <c r="AA193" s="40"/>
      <c r="AB193" s="40"/>
    </row>
    <row r="194">
      <c r="A194" s="261" t="s">
        <v>495</v>
      </c>
      <c r="B194" s="213">
        <v>17.0</v>
      </c>
      <c r="C194" s="213"/>
      <c r="D194" s="243">
        <f t="shared" si="42"/>
        <v>0.10625</v>
      </c>
      <c r="E194" s="85"/>
      <c r="F194" s="85"/>
      <c r="G194" s="86"/>
      <c r="H194" s="250"/>
      <c r="I194" s="244"/>
      <c r="J194" s="244"/>
      <c r="K194" s="244"/>
      <c r="U194" s="40"/>
      <c r="V194" s="40"/>
      <c r="W194" s="40"/>
      <c r="X194" s="40"/>
      <c r="Y194" s="40"/>
      <c r="Z194" s="40"/>
      <c r="AA194" s="40"/>
      <c r="AB194" s="40"/>
    </row>
    <row r="195">
      <c r="A195" s="261" t="s">
        <v>498</v>
      </c>
      <c r="B195" s="213">
        <v>7.0</v>
      </c>
      <c r="C195" s="213"/>
      <c r="D195" s="243">
        <f t="shared" si="42"/>
        <v>0.04375</v>
      </c>
      <c r="E195" s="85"/>
      <c r="F195" s="85"/>
      <c r="G195" s="86"/>
      <c r="H195" s="250"/>
      <c r="I195" s="244"/>
      <c r="J195" s="244"/>
      <c r="K195" s="244"/>
      <c r="U195" s="40"/>
      <c r="V195" s="40"/>
      <c r="W195" s="40"/>
      <c r="X195" s="40"/>
      <c r="Y195" s="40"/>
      <c r="Z195" s="40"/>
      <c r="AA195" s="40"/>
      <c r="AB195" s="40"/>
    </row>
    <row r="196">
      <c r="A196" s="262" t="s">
        <v>501</v>
      </c>
      <c r="B196" s="219">
        <v>138.0</v>
      </c>
      <c r="C196" s="219"/>
      <c r="D196" s="251">
        <f t="shared" si="42"/>
        <v>0.8625</v>
      </c>
      <c r="E196" s="110"/>
      <c r="F196" s="110"/>
      <c r="G196" s="86"/>
      <c r="H196" s="250"/>
      <c r="I196" s="244"/>
      <c r="J196" s="244"/>
      <c r="K196" s="244"/>
      <c r="U196" s="40"/>
      <c r="V196" s="40"/>
      <c r="W196" s="40"/>
      <c r="X196" s="40"/>
      <c r="Y196" s="40"/>
      <c r="Z196" s="40"/>
      <c r="AA196" s="40"/>
      <c r="AB196" s="40"/>
    </row>
    <row r="197">
      <c r="A197" s="261" t="s">
        <v>504</v>
      </c>
      <c r="B197" s="213">
        <v>12.0</v>
      </c>
      <c r="C197" s="213"/>
      <c r="D197" s="243">
        <f t="shared" si="42"/>
        <v>0.075</v>
      </c>
      <c r="E197" s="85"/>
      <c r="F197" s="85"/>
      <c r="G197" s="86"/>
      <c r="H197" s="250"/>
      <c r="I197" s="244"/>
      <c r="J197" s="244"/>
      <c r="K197" s="244"/>
      <c r="U197" s="40"/>
      <c r="V197" s="40"/>
      <c r="W197" s="40"/>
      <c r="X197" s="40"/>
      <c r="Y197" s="40"/>
      <c r="Z197" s="40"/>
      <c r="AA197" s="40"/>
      <c r="AB197" s="40"/>
    </row>
    <row r="198">
      <c r="A198" s="261" t="s">
        <v>507</v>
      </c>
      <c r="B198" s="213">
        <v>3.0</v>
      </c>
      <c r="C198" s="213"/>
      <c r="D198" s="243">
        <f t="shared" si="42"/>
        <v>0.01875</v>
      </c>
      <c r="E198" s="85"/>
      <c r="F198" s="85"/>
      <c r="G198" s="86"/>
      <c r="H198" s="250"/>
      <c r="I198" s="244"/>
      <c r="J198" s="244"/>
      <c r="K198" s="244"/>
      <c r="U198" s="40"/>
      <c r="V198" s="40"/>
      <c r="W198" s="40"/>
      <c r="X198" s="40"/>
      <c r="Y198" s="40"/>
      <c r="Z198" s="40"/>
      <c r="AA198" s="40"/>
      <c r="AB198" s="40"/>
    </row>
    <row r="199">
      <c r="A199" s="261" t="s">
        <v>510</v>
      </c>
      <c r="B199" s="213">
        <v>153.0</v>
      </c>
      <c r="C199" s="213"/>
      <c r="D199" s="243">
        <f t="shared" si="42"/>
        <v>0.95625</v>
      </c>
      <c r="E199" s="110"/>
      <c r="F199" s="110"/>
      <c r="G199" s="86"/>
      <c r="H199" s="250"/>
      <c r="I199" s="244"/>
      <c r="J199" s="244"/>
      <c r="K199" s="244"/>
      <c r="U199" s="40"/>
      <c r="V199" s="40"/>
      <c r="W199" s="40"/>
      <c r="X199" s="40"/>
      <c r="Y199" s="40"/>
      <c r="Z199" s="40"/>
      <c r="AA199" s="40"/>
      <c r="AB199" s="40"/>
    </row>
    <row r="200">
      <c r="A200" s="261" t="s">
        <v>513</v>
      </c>
      <c r="B200" s="213">
        <v>0.0</v>
      </c>
      <c r="C200" s="213"/>
      <c r="D200" s="243">
        <f t="shared" si="42"/>
        <v>0</v>
      </c>
      <c r="E200" s="85"/>
      <c r="F200" s="85"/>
      <c r="G200" s="86"/>
      <c r="H200" s="250"/>
      <c r="I200" s="244"/>
      <c r="J200" s="244"/>
      <c r="K200" s="244"/>
      <c r="U200" s="40"/>
      <c r="V200" s="40"/>
      <c r="W200" s="40"/>
      <c r="X200" s="40"/>
      <c r="Y200" s="40"/>
      <c r="Z200" s="40"/>
      <c r="AA200" s="40"/>
      <c r="AB200" s="40"/>
    </row>
    <row r="201">
      <c r="A201" s="261" t="s">
        <v>516</v>
      </c>
      <c r="B201" s="213">
        <v>0.0</v>
      </c>
      <c r="C201" s="213"/>
      <c r="D201" s="243">
        <f t="shared" si="42"/>
        <v>0</v>
      </c>
      <c r="E201" s="85"/>
      <c r="F201" s="85"/>
      <c r="G201" s="86"/>
      <c r="H201" s="250"/>
      <c r="I201" s="244"/>
      <c r="J201" s="244"/>
      <c r="K201" s="244"/>
      <c r="U201" s="40"/>
      <c r="V201" s="40"/>
      <c r="W201" s="40"/>
      <c r="X201" s="40"/>
      <c r="Y201" s="40"/>
      <c r="Z201" s="40"/>
      <c r="AA201" s="40"/>
      <c r="AB201" s="40"/>
    </row>
    <row r="202">
      <c r="A202" s="261" t="s">
        <v>517</v>
      </c>
      <c r="B202" s="213">
        <v>153.0</v>
      </c>
      <c r="C202" s="213"/>
      <c r="D202" s="243">
        <f t="shared" si="42"/>
        <v>0.95625</v>
      </c>
      <c r="E202" s="110"/>
      <c r="F202" s="110"/>
      <c r="G202" s="86"/>
      <c r="H202" s="250"/>
      <c r="I202" s="244"/>
      <c r="J202" s="244"/>
      <c r="K202" s="244"/>
      <c r="U202" s="40"/>
      <c r="V202" s="40"/>
      <c r="W202" s="40"/>
      <c r="X202" s="40"/>
      <c r="Y202" s="40"/>
      <c r="Z202" s="40"/>
      <c r="AA202" s="40"/>
      <c r="AB202" s="40"/>
    </row>
    <row r="203">
      <c r="A203" s="261" t="s">
        <v>520</v>
      </c>
      <c r="B203" s="213">
        <v>0.0</v>
      </c>
      <c r="C203" s="213"/>
      <c r="D203" s="243">
        <f t="shared" si="42"/>
        <v>0</v>
      </c>
      <c r="E203" s="85"/>
      <c r="F203" s="85"/>
      <c r="G203" s="86"/>
      <c r="H203" s="250"/>
      <c r="I203" s="244"/>
      <c r="J203" s="244"/>
      <c r="K203" s="244"/>
      <c r="U203" s="40"/>
      <c r="V203" s="40"/>
      <c r="W203" s="40"/>
      <c r="X203" s="40"/>
      <c r="Y203" s="40"/>
      <c r="Z203" s="40"/>
      <c r="AA203" s="40"/>
      <c r="AB203" s="40"/>
    </row>
    <row r="204">
      <c r="A204" s="261" t="s">
        <v>524</v>
      </c>
      <c r="B204" s="213">
        <v>0.0</v>
      </c>
      <c r="C204" s="213"/>
      <c r="D204" s="243">
        <f t="shared" si="42"/>
        <v>0</v>
      </c>
      <c r="E204" s="85"/>
      <c r="F204" s="85"/>
      <c r="G204" s="86"/>
      <c r="H204" s="250"/>
      <c r="I204" s="244"/>
      <c r="J204" s="244"/>
      <c r="K204" s="244"/>
      <c r="U204" s="40"/>
      <c r="V204" s="40"/>
      <c r="W204" s="40"/>
      <c r="X204" s="40"/>
      <c r="Y204" s="40"/>
      <c r="Z204" s="40"/>
      <c r="AA204" s="40"/>
      <c r="AB204" s="40"/>
    </row>
    <row r="205">
      <c r="A205" s="261" t="s">
        <v>527</v>
      </c>
      <c r="B205" s="213">
        <v>153.0</v>
      </c>
      <c r="C205" s="213"/>
      <c r="D205" s="243">
        <f t="shared" si="42"/>
        <v>0.95625</v>
      </c>
      <c r="E205" s="110"/>
      <c r="F205" s="110"/>
      <c r="G205" s="86"/>
      <c r="H205" s="250"/>
      <c r="I205" s="244"/>
      <c r="J205" s="244"/>
      <c r="K205" s="244"/>
      <c r="U205" s="40"/>
      <c r="V205" s="40"/>
      <c r="W205" s="40"/>
      <c r="X205" s="40"/>
      <c r="Y205" s="40"/>
      <c r="Z205" s="40"/>
      <c r="AA205" s="40"/>
      <c r="AB205" s="40"/>
    </row>
    <row r="206">
      <c r="A206" s="261" t="s">
        <v>529</v>
      </c>
      <c r="B206" s="213">
        <v>0.0</v>
      </c>
      <c r="C206" s="213"/>
      <c r="D206" s="243">
        <f t="shared" si="42"/>
        <v>0</v>
      </c>
      <c r="E206" s="85"/>
      <c r="F206" s="85"/>
      <c r="G206" s="86"/>
      <c r="H206" s="250"/>
      <c r="I206" s="244"/>
      <c r="J206" s="244"/>
      <c r="K206" s="244"/>
      <c r="U206" s="40"/>
      <c r="V206" s="40"/>
      <c r="W206" s="40"/>
      <c r="X206" s="40"/>
      <c r="Y206" s="40"/>
      <c r="Z206" s="40"/>
      <c r="AA206" s="40"/>
      <c r="AB206" s="40"/>
    </row>
    <row r="207">
      <c r="A207" s="261" t="s">
        <v>532</v>
      </c>
      <c r="B207" s="213">
        <v>7.0</v>
      </c>
      <c r="C207" s="213"/>
      <c r="D207" s="243">
        <f t="shared" si="42"/>
        <v>0.04375</v>
      </c>
      <c r="E207" s="85"/>
      <c r="F207" s="85"/>
      <c r="G207" s="86"/>
      <c r="H207" s="250"/>
      <c r="I207" s="244"/>
      <c r="J207" s="244"/>
      <c r="K207" s="244"/>
      <c r="U207" s="40"/>
      <c r="V207" s="40"/>
      <c r="W207" s="40"/>
      <c r="X207" s="40"/>
      <c r="Y207" s="40"/>
      <c r="Z207" s="40"/>
      <c r="AA207" s="40"/>
      <c r="AB207" s="40"/>
    </row>
    <row r="208">
      <c r="G208" s="9"/>
      <c r="I208" s="244"/>
      <c r="J208" s="244"/>
      <c r="K208" s="244"/>
      <c r="U208" s="40"/>
      <c r="V208" s="40"/>
      <c r="W208" s="40"/>
      <c r="X208" s="40"/>
      <c r="Y208" s="40"/>
      <c r="Z208" s="40"/>
      <c r="AA208" s="40"/>
      <c r="AB208" s="40"/>
    </row>
    <row r="209">
      <c r="G209" s="9"/>
      <c r="I209" s="244"/>
      <c r="J209" s="244"/>
      <c r="K209" s="244"/>
      <c r="U209" s="40"/>
      <c r="V209" s="40"/>
      <c r="W209" s="40"/>
      <c r="X209" s="40"/>
      <c r="Y209" s="40"/>
      <c r="Z209" s="40"/>
      <c r="AA209" s="40"/>
      <c r="AB209" s="40"/>
    </row>
    <row r="210">
      <c r="G210" s="9"/>
      <c r="I210" s="244"/>
      <c r="J210" s="244"/>
      <c r="K210" s="244"/>
      <c r="U210" s="40"/>
      <c r="V210" s="40"/>
      <c r="W210" s="40"/>
      <c r="X210" s="40"/>
      <c r="Y210" s="40"/>
      <c r="Z210" s="40"/>
      <c r="AA210" s="40"/>
      <c r="AB210" s="40"/>
    </row>
    <row r="211">
      <c r="G211" s="9"/>
      <c r="I211" s="244"/>
      <c r="J211" s="244"/>
      <c r="K211" s="244"/>
      <c r="U211" s="40"/>
      <c r="V211" s="40"/>
      <c r="W211" s="40"/>
      <c r="X211" s="40"/>
      <c r="Y211" s="40"/>
      <c r="Z211" s="40"/>
      <c r="AA211" s="40"/>
      <c r="AB211" s="40"/>
    </row>
    <row r="212">
      <c r="G212" s="9"/>
      <c r="I212" s="244"/>
      <c r="J212" s="244"/>
      <c r="K212" s="244"/>
      <c r="U212" s="40"/>
      <c r="V212" s="40"/>
      <c r="W212" s="40"/>
      <c r="X212" s="40"/>
      <c r="Y212" s="40"/>
      <c r="Z212" s="40"/>
      <c r="AA212" s="40"/>
      <c r="AB212" s="40"/>
    </row>
    <row r="213">
      <c r="G213" s="9"/>
      <c r="I213" s="244"/>
      <c r="J213" s="244"/>
      <c r="K213" s="244"/>
      <c r="U213" s="40"/>
      <c r="V213" s="40"/>
      <c r="W213" s="40"/>
      <c r="X213" s="40"/>
      <c r="Y213" s="40"/>
      <c r="Z213" s="40"/>
      <c r="AA213" s="40"/>
      <c r="AB213" s="40"/>
    </row>
    <row r="214">
      <c r="G214" s="9"/>
      <c r="I214" s="244"/>
      <c r="J214" s="244"/>
      <c r="K214" s="244"/>
      <c r="U214" s="40"/>
      <c r="V214" s="40"/>
      <c r="W214" s="40"/>
      <c r="X214" s="40"/>
      <c r="Y214" s="40"/>
      <c r="Z214" s="40"/>
      <c r="AA214" s="40"/>
      <c r="AB214" s="40"/>
    </row>
    <row r="215">
      <c r="G215" s="9"/>
      <c r="I215" s="244"/>
      <c r="J215" s="244"/>
      <c r="K215" s="244"/>
      <c r="U215" s="40"/>
      <c r="V215" s="40"/>
      <c r="W215" s="40"/>
      <c r="X215" s="40"/>
      <c r="Y215" s="40"/>
      <c r="Z215" s="40"/>
      <c r="AA215" s="40"/>
      <c r="AB215" s="40"/>
    </row>
    <row r="216">
      <c r="G216" s="9"/>
      <c r="I216" s="244"/>
      <c r="J216" s="244"/>
      <c r="K216" s="244"/>
      <c r="U216" s="40"/>
      <c r="V216" s="40"/>
      <c r="W216" s="40"/>
      <c r="X216" s="40"/>
      <c r="Y216" s="40"/>
      <c r="Z216" s="40"/>
      <c r="AA216" s="40"/>
      <c r="AB216" s="40"/>
    </row>
    <row r="217">
      <c r="G217" s="9"/>
      <c r="I217" s="244"/>
      <c r="J217" s="244"/>
      <c r="K217" s="244"/>
      <c r="U217" s="40"/>
      <c r="V217" s="40"/>
      <c r="W217" s="40"/>
      <c r="X217" s="40"/>
      <c r="Y217" s="40"/>
      <c r="Z217" s="40"/>
      <c r="AA217" s="40"/>
      <c r="AB217" s="40"/>
    </row>
    <row r="218">
      <c r="G218" s="9"/>
      <c r="I218" s="244"/>
      <c r="J218" s="244"/>
      <c r="K218" s="244"/>
      <c r="U218" s="40"/>
      <c r="V218" s="40"/>
      <c r="W218" s="40"/>
      <c r="X218" s="40"/>
      <c r="Y218" s="40"/>
      <c r="Z218" s="40"/>
      <c r="AA218" s="40"/>
      <c r="AB218" s="40"/>
    </row>
    <row r="219">
      <c r="G219" s="9"/>
      <c r="I219" s="244"/>
      <c r="J219" s="244"/>
      <c r="K219" s="244"/>
      <c r="U219" s="40"/>
      <c r="V219" s="40"/>
      <c r="W219" s="40"/>
      <c r="X219" s="40"/>
      <c r="Y219" s="40"/>
      <c r="Z219" s="40"/>
      <c r="AA219" s="40"/>
      <c r="AB219" s="40"/>
    </row>
    <row r="220">
      <c r="G220" s="9"/>
      <c r="I220" s="244"/>
      <c r="J220" s="244"/>
      <c r="K220" s="244"/>
      <c r="U220" s="40"/>
      <c r="V220" s="40"/>
      <c r="W220" s="40"/>
      <c r="X220" s="40"/>
      <c r="Y220" s="40"/>
      <c r="Z220" s="40"/>
      <c r="AA220" s="40"/>
      <c r="AB220" s="40"/>
    </row>
    <row r="221">
      <c r="G221" s="9"/>
      <c r="I221" s="244"/>
      <c r="J221" s="244"/>
      <c r="K221" s="244"/>
      <c r="U221" s="40"/>
      <c r="V221" s="40"/>
      <c r="W221" s="40"/>
      <c r="X221" s="40"/>
      <c r="Y221" s="40"/>
      <c r="Z221" s="40"/>
      <c r="AA221" s="40"/>
      <c r="AB221" s="40"/>
    </row>
    <row r="222">
      <c r="G222" s="9"/>
      <c r="I222" s="244"/>
      <c r="J222" s="244"/>
      <c r="K222" s="244"/>
      <c r="U222" s="40"/>
      <c r="V222" s="40"/>
      <c r="W222" s="40"/>
      <c r="X222" s="40"/>
      <c r="Y222" s="40"/>
      <c r="Z222" s="40"/>
      <c r="AA222" s="40"/>
      <c r="AB222" s="40"/>
    </row>
    <row r="223">
      <c r="G223" s="9"/>
      <c r="I223" s="244"/>
      <c r="J223" s="244"/>
      <c r="K223" s="244"/>
      <c r="U223" s="40"/>
      <c r="V223" s="40"/>
      <c r="W223" s="40"/>
      <c r="X223" s="40"/>
      <c r="Y223" s="40"/>
      <c r="Z223" s="40"/>
      <c r="AA223" s="40"/>
      <c r="AB223" s="40"/>
    </row>
    <row r="224">
      <c r="G224" s="9"/>
      <c r="I224" s="244"/>
      <c r="J224" s="244"/>
      <c r="K224" s="244"/>
      <c r="U224" s="40"/>
      <c r="V224" s="40"/>
      <c r="W224" s="40"/>
      <c r="X224" s="40"/>
      <c r="Y224" s="40"/>
      <c r="Z224" s="40"/>
      <c r="AA224" s="40"/>
      <c r="AB224" s="40"/>
    </row>
    <row r="225">
      <c r="G225" s="9"/>
      <c r="I225" s="244"/>
      <c r="J225" s="244"/>
      <c r="K225" s="244"/>
      <c r="U225" s="40"/>
      <c r="V225" s="40"/>
      <c r="W225" s="40"/>
      <c r="X225" s="40"/>
      <c r="Y225" s="40"/>
      <c r="Z225" s="40"/>
      <c r="AA225" s="40"/>
      <c r="AB225" s="40"/>
    </row>
    <row r="226">
      <c r="G226" s="9"/>
      <c r="I226" s="244"/>
      <c r="J226" s="244"/>
      <c r="K226" s="244"/>
      <c r="U226" s="40"/>
      <c r="V226" s="40"/>
      <c r="W226" s="40"/>
      <c r="X226" s="40"/>
      <c r="Y226" s="40"/>
      <c r="Z226" s="40"/>
      <c r="AA226" s="40"/>
      <c r="AB226" s="40"/>
    </row>
    <row r="227">
      <c r="G227" s="9"/>
      <c r="I227" s="244"/>
      <c r="J227" s="244"/>
      <c r="K227" s="244"/>
      <c r="U227" s="40"/>
      <c r="V227" s="40"/>
      <c r="W227" s="40"/>
      <c r="X227" s="40"/>
      <c r="Y227" s="40"/>
      <c r="Z227" s="40"/>
      <c r="AA227" s="40"/>
      <c r="AB227" s="40"/>
    </row>
    <row r="228">
      <c r="G228" s="9"/>
      <c r="I228" s="244"/>
      <c r="J228" s="244"/>
      <c r="K228" s="244"/>
      <c r="U228" s="40"/>
      <c r="V228" s="40"/>
      <c r="W228" s="40"/>
      <c r="X228" s="40"/>
      <c r="Y228" s="40"/>
      <c r="Z228" s="40"/>
      <c r="AA228" s="40"/>
      <c r="AB228" s="40"/>
    </row>
    <row r="229">
      <c r="G229" s="9"/>
      <c r="I229" s="244"/>
      <c r="J229" s="244"/>
      <c r="K229" s="244"/>
      <c r="U229" s="40"/>
      <c r="V229" s="40"/>
      <c r="W229" s="40"/>
      <c r="X229" s="40"/>
      <c r="Y229" s="40"/>
      <c r="Z229" s="40"/>
      <c r="AA229" s="40"/>
      <c r="AB229" s="40"/>
    </row>
    <row r="230">
      <c r="G230" s="9"/>
      <c r="I230" s="244"/>
      <c r="J230" s="244"/>
      <c r="K230" s="244"/>
      <c r="U230" s="40"/>
      <c r="V230" s="40"/>
      <c r="W230" s="40"/>
      <c r="X230" s="40"/>
      <c r="Y230" s="40"/>
      <c r="Z230" s="40"/>
      <c r="AA230" s="40"/>
      <c r="AB230" s="40"/>
    </row>
    <row r="231">
      <c r="G231" s="9"/>
      <c r="I231" s="244"/>
      <c r="J231" s="244"/>
      <c r="K231" s="244"/>
      <c r="U231" s="40"/>
      <c r="V231" s="40"/>
      <c r="W231" s="40"/>
      <c r="X231" s="40"/>
      <c r="Y231" s="40"/>
      <c r="Z231" s="40"/>
      <c r="AA231" s="40"/>
      <c r="AB231" s="40"/>
    </row>
    <row r="232">
      <c r="G232" s="9"/>
      <c r="I232" s="244"/>
      <c r="J232" s="244"/>
      <c r="K232" s="244"/>
      <c r="U232" s="40"/>
      <c r="V232" s="40"/>
      <c r="W232" s="40"/>
      <c r="X232" s="40"/>
      <c r="Y232" s="40"/>
      <c r="Z232" s="40"/>
      <c r="AA232" s="40"/>
      <c r="AB232" s="40"/>
    </row>
    <row r="233">
      <c r="G233" s="9"/>
      <c r="I233" s="244"/>
      <c r="J233" s="244"/>
      <c r="K233" s="244"/>
      <c r="U233" s="40"/>
      <c r="V233" s="40"/>
      <c r="W233" s="40"/>
      <c r="X233" s="40"/>
      <c r="Y233" s="40"/>
      <c r="Z233" s="40"/>
      <c r="AA233" s="40"/>
      <c r="AB233" s="40"/>
    </row>
    <row r="234">
      <c r="G234" s="9"/>
      <c r="I234" s="244"/>
      <c r="J234" s="244"/>
      <c r="K234" s="244"/>
      <c r="U234" s="40"/>
      <c r="V234" s="40"/>
      <c r="W234" s="40"/>
      <c r="X234" s="40"/>
      <c r="Y234" s="40"/>
      <c r="Z234" s="40"/>
      <c r="AA234" s="40"/>
      <c r="AB234" s="40"/>
    </row>
    <row r="235">
      <c r="G235" s="9"/>
      <c r="I235" s="244"/>
      <c r="J235" s="244"/>
      <c r="K235" s="244"/>
      <c r="U235" s="40"/>
      <c r="V235" s="40"/>
      <c r="W235" s="40"/>
      <c r="X235" s="40"/>
      <c r="Y235" s="40"/>
      <c r="Z235" s="40"/>
      <c r="AA235" s="40"/>
      <c r="AB235" s="40"/>
    </row>
    <row r="236">
      <c r="G236" s="9"/>
      <c r="I236" s="244"/>
      <c r="J236" s="244"/>
      <c r="K236" s="244"/>
      <c r="U236" s="40"/>
      <c r="V236" s="40"/>
      <c r="W236" s="40"/>
      <c r="X236" s="40"/>
      <c r="Y236" s="40"/>
      <c r="Z236" s="40"/>
      <c r="AA236" s="40"/>
      <c r="AB236" s="40"/>
    </row>
    <row r="237">
      <c r="G237" s="9"/>
      <c r="I237" s="244"/>
      <c r="J237" s="244"/>
      <c r="K237" s="244"/>
      <c r="U237" s="40"/>
      <c r="V237" s="40"/>
      <c r="W237" s="40"/>
      <c r="X237" s="40"/>
      <c r="Y237" s="40"/>
      <c r="Z237" s="40"/>
      <c r="AA237" s="40"/>
      <c r="AB237" s="40"/>
    </row>
    <row r="238">
      <c r="G238" s="9"/>
      <c r="I238" s="244"/>
      <c r="J238" s="244"/>
      <c r="K238" s="244"/>
      <c r="U238" s="40"/>
      <c r="V238" s="40"/>
      <c r="W238" s="40"/>
      <c r="X238" s="40"/>
      <c r="Y238" s="40"/>
      <c r="Z238" s="40"/>
      <c r="AA238" s="40"/>
      <c r="AB238" s="40"/>
    </row>
    <row r="239">
      <c r="G239" s="9"/>
      <c r="I239" s="244"/>
      <c r="J239" s="244"/>
      <c r="K239" s="244"/>
      <c r="U239" s="40"/>
      <c r="V239" s="40"/>
      <c r="W239" s="40"/>
      <c r="X239" s="40"/>
      <c r="Y239" s="40"/>
      <c r="Z239" s="40"/>
      <c r="AA239" s="40"/>
      <c r="AB239" s="40"/>
    </row>
    <row r="240">
      <c r="G240" s="9"/>
      <c r="I240" s="244"/>
      <c r="J240" s="244"/>
      <c r="K240" s="244"/>
      <c r="U240" s="40"/>
      <c r="V240" s="40"/>
      <c r="W240" s="40"/>
      <c r="X240" s="40"/>
      <c r="Y240" s="40"/>
      <c r="Z240" s="40"/>
      <c r="AA240" s="40"/>
      <c r="AB240" s="40"/>
    </row>
    <row r="241">
      <c r="G241" s="9"/>
      <c r="I241" s="244"/>
      <c r="J241" s="244"/>
      <c r="K241" s="244"/>
      <c r="U241" s="40"/>
      <c r="V241" s="40"/>
      <c r="W241" s="40"/>
      <c r="X241" s="40"/>
      <c r="Y241" s="40"/>
      <c r="Z241" s="40"/>
      <c r="AA241" s="40"/>
      <c r="AB241" s="40"/>
    </row>
    <row r="242">
      <c r="G242" s="9"/>
      <c r="I242" s="244"/>
      <c r="J242" s="244"/>
      <c r="K242" s="244"/>
      <c r="U242" s="40"/>
      <c r="V242" s="40"/>
      <c r="W242" s="40"/>
      <c r="X242" s="40"/>
      <c r="Y242" s="40"/>
      <c r="Z242" s="40"/>
      <c r="AA242" s="40"/>
      <c r="AB242" s="40"/>
    </row>
    <row r="243">
      <c r="G243" s="9"/>
      <c r="I243" s="244"/>
      <c r="J243" s="244"/>
      <c r="K243" s="244"/>
      <c r="U243" s="40"/>
      <c r="V243" s="40"/>
      <c r="W243" s="40"/>
      <c r="X243" s="40"/>
      <c r="Y243" s="40"/>
      <c r="Z243" s="40"/>
      <c r="AA243" s="40"/>
      <c r="AB243" s="40"/>
    </row>
    <row r="244">
      <c r="G244" s="9"/>
      <c r="I244" s="244"/>
      <c r="J244" s="244"/>
      <c r="K244" s="244"/>
      <c r="U244" s="40"/>
      <c r="V244" s="40"/>
      <c r="W244" s="40"/>
      <c r="X244" s="40"/>
      <c r="Y244" s="40"/>
      <c r="Z244" s="40"/>
      <c r="AA244" s="40"/>
      <c r="AB244" s="40"/>
    </row>
    <row r="245">
      <c r="G245" s="9"/>
      <c r="I245" s="244"/>
      <c r="J245" s="244"/>
      <c r="K245" s="244"/>
      <c r="U245" s="40"/>
      <c r="V245" s="40"/>
      <c r="W245" s="40"/>
      <c r="X245" s="40"/>
      <c r="Y245" s="40"/>
      <c r="Z245" s="40"/>
      <c r="AA245" s="40"/>
      <c r="AB245" s="40"/>
    </row>
    <row r="246">
      <c r="G246" s="9"/>
      <c r="I246" s="244"/>
      <c r="J246" s="244"/>
      <c r="K246" s="244"/>
      <c r="U246" s="40"/>
      <c r="V246" s="40"/>
      <c r="W246" s="40"/>
      <c r="X246" s="40"/>
      <c r="Y246" s="40"/>
      <c r="Z246" s="40"/>
      <c r="AA246" s="40"/>
      <c r="AB246" s="40"/>
    </row>
    <row r="247">
      <c r="G247" s="9"/>
      <c r="I247" s="244"/>
      <c r="J247" s="244"/>
      <c r="K247" s="244"/>
      <c r="U247" s="40"/>
      <c r="V247" s="40"/>
      <c r="W247" s="40"/>
      <c r="X247" s="40"/>
      <c r="Y247" s="40"/>
      <c r="Z247" s="40"/>
      <c r="AA247" s="40"/>
      <c r="AB247" s="40"/>
    </row>
    <row r="248">
      <c r="G248" s="9"/>
      <c r="I248" s="244"/>
      <c r="J248" s="244"/>
      <c r="K248" s="244"/>
      <c r="U248" s="40"/>
      <c r="V248" s="40"/>
      <c r="W248" s="40"/>
      <c r="X248" s="40"/>
      <c r="Y248" s="40"/>
      <c r="Z248" s="40"/>
      <c r="AA248" s="40"/>
      <c r="AB248" s="40"/>
    </row>
    <row r="249">
      <c r="G249" s="9"/>
      <c r="I249" s="244"/>
      <c r="J249" s="244"/>
      <c r="K249" s="244"/>
      <c r="U249" s="40"/>
      <c r="V249" s="40"/>
      <c r="W249" s="40"/>
      <c r="X249" s="40"/>
      <c r="Y249" s="40"/>
      <c r="Z249" s="40"/>
      <c r="AA249" s="40"/>
      <c r="AB249" s="40"/>
    </row>
    <row r="250">
      <c r="G250" s="9"/>
      <c r="I250" s="244"/>
      <c r="J250" s="244"/>
      <c r="K250" s="244"/>
      <c r="U250" s="40"/>
      <c r="V250" s="40"/>
      <c r="W250" s="40"/>
      <c r="X250" s="40"/>
      <c r="Y250" s="40"/>
      <c r="Z250" s="40"/>
      <c r="AA250" s="40"/>
      <c r="AB250" s="40"/>
    </row>
    <row r="251">
      <c r="G251" s="9"/>
      <c r="I251" s="244"/>
      <c r="J251" s="244"/>
      <c r="K251" s="244"/>
      <c r="U251" s="40"/>
      <c r="V251" s="40"/>
      <c r="W251" s="40"/>
      <c r="X251" s="40"/>
      <c r="Y251" s="40"/>
      <c r="Z251" s="40"/>
      <c r="AA251" s="40"/>
      <c r="AB251" s="40"/>
    </row>
    <row r="252">
      <c r="G252" s="9"/>
      <c r="I252" s="244"/>
      <c r="J252" s="244"/>
      <c r="K252" s="244"/>
      <c r="U252" s="40"/>
      <c r="V252" s="40"/>
      <c r="W252" s="40"/>
      <c r="X252" s="40"/>
      <c r="Y252" s="40"/>
      <c r="Z252" s="40"/>
      <c r="AA252" s="40"/>
      <c r="AB252" s="40"/>
    </row>
    <row r="253">
      <c r="G253" s="9"/>
      <c r="I253" s="244"/>
      <c r="J253" s="244"/>
      <c r="K253" s="244"/>
      <c r="U253" s="40"/>
      <c r="V253" s="40"/>
      <c r="W253" s="40"/>
      <c r="X253" s="40"/>
      <c r="Y253" s="40"/>
      <c r="Z253" s="40"/>
      <c r="AA253" s="40"/>
      <c r="AB253" s="40"/>
    </row>
    <row r="254">
      <c r="G254" s="9"/>
      <c r="I254" s="244"/>
      <c r="J254" s="244"/>
      <c r="K254" s="244"/>
      <c r="U254" s="40"/>
      <c r="V254" s="40"/>
      <c r="W254" s="40"/>
      <c r="X254" s="40"/>
      <c r="Y254" s="40"/>
      <c r="Z254" s="40"/>
      <c r="AA254" s="40"/>
      <c r="AB254" s="40"/>
    </row>
    <row r="255">
      <c r="G255" s="9"/>
      <c r="I255" s="244"/>
      <c r="J255" s="244"/>
      <c r="K255" s="244"/>
      <c r="U255" s="40"/>
      <c r="V255" s="40"/>
      <c r="W255" s="40"/>
      <c r="X255" s="40"/>
      <c r="Y255" s="40"/>
      <c r="Z255" s="40"/>
      <c r="AA255" s="40"/>
      <c r="AB255" s="40"/>
    </row>
    <row r="256">
      <c r="G256" s="9"/>
      <c r="I256" s="244"/>
      <c r="J256" s="244"/>
      <c r="K256" s="244"/>
      <c r="U256" s="40"/>
      <c r="V256" s="40"/>
      <c r="W256" s="40"/>
      <c r="X256" s="40"/>
      <c r="Y256" s="40"/>
      <c r="Z256" s="40"/>
      <c r="AA256" s="40"/>
      <c r="AB256" s="40"/>
    </row>
    <row r="257">
      <c r="G257" s="9"/>
      <c r="I257" s="244"/>
      <c r="J257" s="244"/>
      <c r="K257" s="244"/>
      <c r="U257" s="40"/>
      <c r="V257" s="40"/>
      <c r="W257" s="40"/>
      <c r="X257" s="40"/>
      <c r="Y257" s="40"/>
      <c r="Z257" s="40"/>
      <c r="AA257" s="40"/>
      <c r="AB257" s="40"/>
    </row>
    <row r="258">
      <c r="G258" s="9"/>
      <c r="I258" s="244"/>
      <c r="J258" s="244"/>
      <c r="K258" s="244"/>
      <c r="U258" s="40"/>
      <c r="V258" s="40"/>
      <c r="W258" s="40"/>
      <c r="X258" s="40"/>
      <c r="Y258" s="40"/>
      <c r="Z258" s="40"/>
      <c r="AA258" s="40"/>
      <c r="AB258" s="40"/>
    </row>
    <row r="259">
      <c r="G259" s="9"/>
      <c r="I259" s="244"/>
      <c r="J259" s="244"/>
      <c r="K259" s="244"/>
      <c r="U259" s="40"/>
      <c r="V259" s="40"/>
      <c r="W259" s="40"/>
      <c r="X259" s="40"/>
      <c r="Y259" s="40"/>
      <c r="Z259" s="40"/>
      <c r="AA259" s="40"/>
      <c r="AB259" s="40"/>
    </row>
    <row r="260">
      <c r="G260" s="9"/>
      <c r="I260" s="244"/>
      <c r="J260" s="244"/>
      <c r="K260" s="244"/>
      <c r="U260" s="40"/>
      <c r="V260" s="40"/>
      <c r="W260" s="40"/>
      <c r="X260" s="40"/>
      <c r="Y260" s="40"/>
      <c r="Z260" s="40"/>
      <c r="AA260" s="40"/>
      <c r="AB260" s="40"/>
    </row>
    <row r="261">
      <c r="G261" s="9"/>
      <c r="I261" s="244"/>
      <c r="J261" s="244"/>
      <c r="K261" s="244"/>
      <c r="U261" s="40"/>
      <c r="V261" s="40"/>
      <c r="W261" s="40"/>
      <c r="X261" s="40"/>
      <c r="Y261" s="40"/>
      <c r="Z261" s="40"/>
      <c r="AA261" s="40"/>
      <c r="AB261" s="40"/>
    </row>
    <row r="262">
      <c r="G262" s="9"/>
      <c r="I262" s="244"/>
      <c r="J262" s="244"/>
      <c r="K262" s="244"/>
      <c r="U262" s="40"/>
      <c r="V262" s="40"/>
      <c r="W262" s="40"/>
      <c r="X262" s="40"/>
      <c r="Y262" s="40"/>
      <c r="Z262" s="40"/>
      <c r="AA262" s="40"/>
      <c r="AB262" s="40"/>
    </row>
    <row r="263">
      <c r="G263" s="9"/>
      <c r="I263" s="244"/>
      <c r="J263" s="244"/>
      <c r="K263" s="244"/>
      <c r="U263" s="40"/>
      <c r="V263" s="40"/>
      <c r="W263" s="40"/>
      <c r="X263" s="40"/>
      <c r="Y263" s="40"/>
      <c r="Z263" s="40"/>
      <c r="AA263" s="40"/>
      <c r="AB263" s="40"/>
    </row>
    <row r="264">
      <c r="G264" s="9"/>
      <c r="I264" s="244"/>
      <c r="J264" s="244"/>
      <c r="K264" s="244"/>
      <c r="U264" s="40"/>
      <c r="V264" s="40"/>
      <c r="W264" s="40"/>
      <c r="X264" s="40"/>
      <c r="Y264" s="40"/>
      <c r="Z264" s="40"/>
      <c r="AA264" s="40"/>
      <c r="AB264" s="40"/>
    </row>
    <row r="265">
      <c r="G265" s="9"/>
      <c r="I265" s="244"/>
      <c r="J265" s="244"/>
      <c r="K265" s="244"/>
      <c r="U265" s="40"/>
      <c r="V265" s="40"/>
      <c r="W265" s="40"/>
      <c r="X265" s="40"/>
      <c r="Y265" s="40"/>
      <c r="Z265" s="40"/>
      <c r="AA265" s="40"/>
      <c r="AB265" s="40"/>
    </row>
    <row r="266">
      <c r="G266" s="9"/>
      <c r="I266" s="244"/>
      <c r="J266" s="244"/>
      <c r="K266" s="244"/>
      <c r="U266" s="40"/>
      <c r="V266" s="40"/>
      <c r="W266" s="40"/>
      <c r="X266" s="40"/>
      <c r="Y266" s="40"/>
      <c r="Z266" s="40"/>
      <c r="AA266" s="40"/>
      <c r="AB266" s="40"/>
    </row>
    <row r="267">
      <c r="G267" s="9"/>
      <c r="I267" s="244"/>
      <c r="J267" s="244"/>
      <c r="K267" s="244"/>
      <c r="U267" s="40"/>
      <c r="V267" s="40"/>
      <c r="W267" s="40"/>
      <c r="X267" s="40"/>
      <c r="Y267" s="40"/>
      <c r="Z267" s="40"/>
      <c r="AA267" s="40"/>
      <c r="AB267" s="40"/>
    </row>
    <row r="268">
      <c r="G268" s="9"/>
      <c r="I268" s="244"/>
      <c r="J268" s="244"/>
      <c r="K268" s="244"/>
      <c r="U268" s="40"/>
      <c r="V268" s="40"/>
      <c r="W268" s="40"/>
      <c r="X268" s="40"/>
      <c r="Y268" s="40"/>
      <c r="Z268" s="40"/>
      <c r="AA268" s="40"/>
      <c r="AB268" s="40"/>
    </row>
    <row r="269">
      <c r="G269" s="9"/>
      <c r="I269" s="244"/>
      <c r="J269" s="244"/>
      <c r="K269" s="244"/>
      <c r="U269" s="40"/>
      <c r="V269" s="40"/>
      <c r="W269" s="40"/>
      <c r="X269" s="40"/>
      <c r="Y269" s="40"/>
      <c r="Z269" s="40"/>
      <c r="AA269" s="40"/>
      <c r="AB269" s="40"/>
    </row>
    <row r="270">
      <c r="G270" s="9"/>
      <c r="I270" s="244"/>
      <c r="J270" s="244"/>
      <c r="K270" s="244"/>
      <c r="U270" s="40"/>
      <c r="V270" s="40"/>
      <c r="W270" s="40"/>
      <c r="X270" s="40"/>
      <c r="Y270" s="40"/>
      <c r="Z270" s="40"/>
      <c r="AA270" s="40"/>
      <c r="AB270" s="40"/>
    </row>
    <row r="271">
      <c r="G271" s="9"/>
      <c r="I271" s="244"/>
      <c r="J271" s="244"/>
      <c r="K271" s="244"/>
      <c r="U271" s="40"/>
      <c r="V271" s="40"/>
      <c r="W271" s="40"/>
      <c r="X271" s="40"/>
      <c r="Y271" s="40"/>
      <c r="Z271" s="40"/>
      <c r="AA271" s="40"/>
      <c r="AB271" s="40"/>
    </row>
    <row r="272">
      <c r="G272" s="9"/>
      <c r="I272" s="244"/>
      <c r="J272" s="244"/>
      <c r="K272" s="244"/>
      <c r="U272" s="40"/>
      <c r="V272" s="40"/>
      <c r="W272" s="40"/>
      <c r="X272" s="40"/>
      <c r="Y272" s="40"/>
      <c r="Z272" s="40"/>
      <c r="AA272" s="40"/>
      <c r="AB272" s="40"/>
    </row>
    <row r="273">
      <c r="G273" s="9"/>
      <c r="I273" s="244"/>
      <c r="J273" s="244"/>
      <c r="K273" s="244"/>
      <c r="U273" s="40"/>
      <c r="V273" s="40"/>
      <c r="W273" s="40"/>
      <c r="X273" s="40"/>
      <c r="Y273" s="40"/>
      <c r="Z273" s="40"/>
      <c r="AA273" s="40"/>
      <c r="AB273" s="40"/>
    </row>
    <row r="274">
      <c r="G274" s="9"/>
      <c r="I274" s="244"/>
      <c r="J274" s="244"/>
      <c r="K274" s="244"/>
      <c r="U274" s="40"/>
      <c r="V274" s="40"/>
      <c r="W274" s="40"/>
      <c r="X274" s="40"/>
      <c r="Y274" s="40"/>
      <c r="Z274" s="40"/>
      <c r="AA274" s="40"/>
      <c r="AB274" s="40"/>
    </row>
    <row r="275">
      <c r="G275" s="9"/>
      <c r="I275" s="244"/>
      <c r="J275" s="244"/>
      <c r="K275" s="244"/>
      <c r="U275" s="40"/>
      <c r="V275" s="40"/>
      <c r="W275" s="40"/>
      <c r="X275" s="40"/>
      <c r="Y275" s="40"/>
      <c r="Z275" s="40"/>
      <c r="AA275" s="40"/>
      <c r="AB275" s="40"/>
    </row>
    <row r="276">
      <c r="G276" s="9"/>
      <c r="I276" s="244"/>
      <c r="J276" s="244"/>
      <c r="K276" s="244"/>
      <c r="U276" s="40"/>
      <c r="V276" s="40"/>
      <c r="W276" s="40"/>
      <c r="X276" s="40"/>
      <c r="Y276" s="40"/>
      <c r="Z276" s="40"/>
      <c r="AA276" s="40"/>
      <c r="AB276" s="40"/>
    </row>
    <row r="277">
      <c r="G277" s="9"/>
      <c r="I277" s="244"/>
      <c r="J277" s="244"/>
      <c r="K277" s="244"/>
      <c r="U277" s="40"/>
      <c r="V277" s="40"/>
      <c r="W277" s="40"/>
      <c r="X277" s="40"/>
      <c r="Y277" s="40"/>
      <c r="Z277" s="40"/>
      <c r="AA277" s="40"/>
      <c r="AB277" s="40"/>
    </row>
    <row r="278">
      <c r="G278" s="9"/>
      <c r="I278" s="244"/>
      <c r="J278" s="244"/>
      <c r="K278" s="244"/>
      <c r="U278" s="40"/>
      <c r="V278" s="40"/>
      <c r="W278" s="40"/>
      <c r="X278" s="40"/>
      <c r="Y278" s="40"/>
      <c r="Z278" s="40"/>
      <c r="AA278" s="40"/>
      <c r="AB278" s="40"/>
    </row>
    <row r="279">
      <c r="G279" s="9"/>
      <c r="I279" s="244"/>
      <c r="J279" s="244"/>
      <c r="K279" s="244"/>
      <c r="U279" s="40"/>
      <c r="V279" s="40"/>
      <c r="W279" s="40"/>
      <c r="X279" s="40"/>
      <c r="Y279" s="40"/>
      <c r="Z279" s="40"/>
      <c r="AA279" s="40"/>
      <c r="AB279" s="40"/>
    </row>
    <row r="280">
      <c r="G280" s="9"/>
      <c r="I280" s="244"/>
      <c r="J280" s="244"/>
      <c r="K280" s="244"/>
      <c r="U280" s="40"/>
      <c r="V280" s="40"/>
      <c r="W280" s="40"/>
      <c r="X280" s="40"/>
      <c r="Y280" s="40"/>
      <c r="Z280" s="40"/>
      <c r="AA280" s="40"/>
      <c r="AB280" s="40"/>
    </row>
    <row r="281">
      <c r="G281" s="9"/>
      <c r="I281" s="244"/>
      <c r="J281" s="244"/>
      <c r="K281" s="244"/>
      <c r="U281" s="40"/>
      <c r="V281" s="40"/>
      <c r="W281" s="40"/>
      <c r="X281" s="40"/>
      <c r="Y281" s="40"/>
      <c r="Z281" s="40"/>
      <c r="AA281" s="40"/>
      <c r="AB281" s="40"/>
    </row>
    <row r="282">
      <c r="G282" s="9"/>
      <c r="I282" s="244"/>
      <c r="J282" s="244"/>
      <c r="K282" s="244"/>
      <c r="U282" s="40"/>
      <c r="V282" s="40"/>
      <c r="W282" s="40"/>
      <c r="X282" s="40"/>
      <c r="Y282" s="40"/>
      <c r="Z282" s="40"/>
      <c r="AA282" s="40"/>
      <c r="AB282" s="40"/>
    </row>
    <row r="283">
      <c r="G283" s="9"/>
      <c r="I283" s="244"/>
      <c r="J283" s="244"/>
      <c r="K283" s="244"/>
      <c r="U283" s="40"/>
      <c r="V283" s="40"/>
      <c r="W283" s="40"/>
      <c r="X283" s="40"/>
      <c r="Y283" s="40"/>
      <c r="Z283" s="40"/>
      <c r="AA283" s="40"/>
      <c r="AB283" s="40"/>
    </row>
    <row r="284">
      <c r="G284" s="9"/>
      <c r="I284" s="244"/>
      <c r="J284" s="244"/>
      <c r="K284" s="244"/>
      <c r="U284" s="40"/>
      <c r="V284" s="40"/>
      <c r="W284" s="40"/>
      <c r="X284" s="40"/>
      <c r="Y284" s="40"/>
      <c r="Z284" s="40"/>
      <c r="AA284" s="40"/>
      <c r="AB284" s="40"/>
    </row>
    <row r="285">
      <c r="G285" s="9"/>
      <c r="I285" s="244"/>
      <c r="J285" s="244"/>
      <c r="K285" s="244"/>
      <c r="U285" s="40"/>
      <c r="V285" s="40"/>
      <c r="W285" s="40"/>
      <c r="X285" s="40"/>
      <c r="Y285" s="40"/>
      <c r="Z285" s="40"/>
      <c r="AA285" s="40"/>
      <c r="AB285" s="40"/>
    </row>
    <row r="286">
      <c r="G286" s="9"/>
      <c r="I286" s="244"/>
      <c r="J286" s="244"/>
      <c r="K286" s="244"/>
      <c r="U286" s="40"/>
      <c r="V286" s="40"/>
      <c r="W286" s="40"/>
      <c r="X286" s="40"/>
      <c r="Y286" s="40"/>
      <c r="Z286" s="40"/>
      <c r="AA286" s="40"/>
      <c r="AB286" s="40"/>
    </row>
    <row r="287">
      <c r="G287" s="9"/>
      <c r="I287" s="244"/>
      <c r="J287" s="244"/>
      <c r="K287" s="244"/>
      <c r="U287" s="40"/>
      <c r="V287" s="40"/>
      <c r="W287" s="40"/>
      <c r="X287" s="40"/>
      <c r="Y287" s="40"/>
      <c r="Z287" s="40"/>
      <c r="AA287" s="40"/>
      <c r="AB287" s="40"/>
    </row>
    <row r="288">
      <c r="G288" s="9"/>
      <c r="I288" s="244"/>
      <c r="J288" s="244"/>
      <c r="K288" s="244"/>
      <c r="U288" s="40"/>
      <c r="V288" s="40"/>
      <c r="W288" s="40"/>
      <c r="X288" s="40"/>
      <c r="Y288" s="40"/>
      <c r="Z288" s="40"/>
      <c r="AA288" s="40"/>
      <c r="AB288" s="40"/>
    </row>
    <row r="289">
      <c r="G289" s="9"/>
      <c r="I289" s="244"/>
      <c r="J289" s="244"/>
      <c r="K289" s="244"/>
      <c r="U289" s="40"/>
      <c r="V289" s="40"/>
      <c r="W289" s="40"/>
      <c r="X289" s="40"/>
      <c r="Y289" s="40"/>
      <c r="Z289" s="40"/>
      <c r="AA289" s="40"/>
      <c r="AB289" s="40"/>
    </row>
    <row r="290">
      <c r="G290" s="9"/>
      <c r="I290" s="244"/>
      <c r="J290" s="244"/>
      <c r="K290" s="244"/>
      <c r="U290" s="40"/>
      <c r="V290" s="40"/>
      <c r="W290" s="40"/>
      <c r="X290" s="40"/>
      <c r="Y290" s="40"/>
      <c r="Z290" s="40"/>
      <c r="AA290" s="40"/>
      <c r="AB290" s="40"/>
    </row>
    <row r="291">
      <c r="G291" s="9"/>
      <c r="I291" s="244"/>
      <c r="J291" s="244"/>
      <c r="K291" s="244"/>
      <c r="U291" s="40"/>
      <c r="V291" s="40"/>
      <c r="W291" s="40"/>
      <c r="X291" s="40"/>
      <c r="Y291" s="40"/>
      <c r="Z291" s="40"/>
      <c r="AA291" s="40"/>
      <c r="AB291" s="40"/>
    </row>
    <row r="292">
      <c r="G292" s="9"/>
      <c r="I292" s="244"/>
      <c r="J292" s="244"/>
      <c r="K292" s="244"/>
      <c r="U292" s="40"/>
      <c r="V292" s="40"/>
      <c r="W292" s="40"/>
      <c r="X292" s="40"/>
      <c r="Y292" s="40"/>
      <c r="Z292" s="40"/>
      <c r="AA292" s="40"/>
      <c r="AB292" s="40"/>
    </row>
    <row r="293">
      <c r="G293" s="9"/>
      <c r="I293" s="244"/>
      <c r="J293" s="244"/>
      <c r="K293" s="244"/>
      <c r="U293" s="40"/>
      <c r="V293" s="40"/>
      <c r="W293" s="40"/>
      <c r="X293" s="40"/>
      <c r="Y293" s="40"/>
      <c r="Z293" s="40"/>
      <c r="AA293" s="40"/>
      <c r="AB293" s="40"/>
    </row>
    <row r="294">
      <c r="G294" s="9"/>
      <c r="I294" s="244"/>
      <c r="J294" s="244"/>
      <c r="K294" s="244"/>
      <c r="U294" s="40"/>
      <c r="V294" s="40"/>
      <c r="W294" s="40"/>
      <c r="X294" s="40"/>
      <c r="Y294" s="40"/>
      <c r="Z294" s="40"/>
      <c r="AA294" s="40"/>
      <c r="AB294" s="40"/>
    </row>
    <row r="295">
      <c r="G295" s="9"/>
      <c r="I295" s="244"/>
      <c r="J295" s="244"/>
      <c r="K295" s="244"/>
      <c r="U295" s="40"/>
      <c r="V295" s="40"/>
      <c r="W295" s="40"/>
      <c r="X295" s="40"/>
      <c r="Y295" s="40"/>
      <c r="Z295" s="40"/>
      <c r="AA295" s="40"/>
      <c r="AB295" s="40"/>
    </row>
    <row r="296">
      <c r="G296" s="9"/>
      <c r="I296" s="244"/>
      <c r="J296" s="244"/>
      <c r="K296" s="244"/>
      <c r="U296" s="40"/>
      <c r="V296" s="40"/>
      <c r="W296" s="40"/>
      <c r="X296" s="40"/>
      <c r="Y296" s="40"/>
      <c r="Z296" s="40"/>
      <c r="AA296" s="40"/>
      <c r="AB296" s="40"/>
    </row>
    <row r="297">
      <c r="G297" s="9"/>
      <c r="I297" s="244"/>
      <c r="J297" s="244"/>
      <c r="K297" s="244"/>
      <c r="U297" s="40"/>
      <c r="V297" s="40"/>
      <c r="W297" s="40"/>
      <c r="X297" s="40"/>
      <c r="Y297" s="40"/>
      <c r="Z297" s="40"/>
      <c r="AA297" s="40"/>
      <c r="AB297" s="40"/>
    </row>
    <row r="298">
      <c r="G298" s="9"/>
      <c r="I298" s="244"/>
      <c r="J298" s="244"/>
      <c r="K298" s="244"/>
      <c r="U298" s="40"/>
      <c r="V298" s="40"/>
      <c r="W298" s="40"/>
      <c r="X298" s="40"/>
      <c r="Y298" s="40"/>
      <c r="Z298" s="40"/>
      <c r="AA298" s="40"/>
      <c r="AB298" s="40"/>
    </row>
    <row r="299">
      <c r="G299" s="9"/>
      <c r="I299" s="244"/>
      <c r="J299" s="244"/>
      <c r="K299" s="244"/>
      <c r="U299" s="40"/>
      <c r="V299" s="40"/>
      <c r="W299" s="40"/>
      <c r="X299" s="40"/>
      <c r="Y299" s="40"/>
      <c r="Z299" s="40"/>
      <c r="AA299" s="40"/>
      <c r="AB299" s="40"/>
    </row>
    <row r="300">
      <c r="G300" s="9"/>
      <c r="I300" s="244"/>
      <c r="J300" s="244"/>
      <c r="K300" s="244"/>
      <c r="U300" s="40"/>
      <c r="V300" s="40"/>
      <c r="W300" s="40"/>
      <c r="X300" s="40"/>
      <c r="Y300" s="40"/>
      <c r="Z300" s="40"/>
      <c r="AA300" s="40"/>
      <c r="AB300" s="40"/>
    </row>
    <row r="301">
      <c r="G301" s="9"/>
      <c r="I301" s="244"/>
      <c r="J301" s="244"/>
      <c r="K301" s="244"/>
      <c r="U301" s="40"/>
      <c r="V301" s="40"/>
      <c r="W301" s="40"/>
      <c r="X301" s="40"/>
      <c r="Y301" s="40"/>
      <c r="Z301" s="40"/>
      <c r="AA301" s="40"/>
      <c r="AB301" s="40"/>
    </row>
    <row r="302">
      <c r="G302" s="9"/>
      <c r="I302" s="244"/>
      <c r="J302" s="244"/>
      <c r="K302" s="244"/>
      <c r="U302" s="40"/>
      <c r="V302" s="40"/>
      <c r="W302" s="40"/>
      <c r="X302" s="40"/>
      <c r="Y302" s="40"/>
      <c r="Z302" s="40"/>
      <c r="AA302" s="40"/>
      <c r="AB302" s="40"/>
    </row>
    <row r="303">
      <c r="G303" s="9"/>
      <c r="I303" s="244"/>
      <c r="J303" s="244"/>
      <c r="K303" s="244"/>
      <c r="U303" s="40"/>
      <c r="V303" s="40"/>
      <c r="W303" s="40"/>
      <c r="X303" s="40"/>
      <c r="Y303" s="40"/>
      <c r="Z303" s="40"/>
      <c r="AA303" s="40"/>
      <c r="AB303" s="40"/>
    </row>
    <row r="304">
      <c r="G304" s="9"/>
      <c r="I304" s="244"/>
      <c r="J304" s="244"/>
      <c r="K304" s="244"/>
      <c r="U304" s="40"/>
      <c r="V304" s="40"/>
      <c r="W304" s="40"/>
      <c r="X304" s="40"/>
      <c r="Y304" s="40"/>
      <c r="Z304" s="40"/>
      <c r="AA304" s="40"/>
      <c r="AB304" s="40"/>
    </row>
    <row r="305">
      <c r="G305" s="9"/>
      <c r="I305" s="244"/>
      <c r="J305" s="244"/>
      <c r="K305" s="244"/>
      <c r="U305" s="40"/>
      <c r="V305" s="40"/>
      <c r="W305" s="40"/>
      <c r="X305" s="40"/>
      <c r="Y305" s="40"/>
      <c r="Z305" s="40"/>
      <c r="AA305" s="40"/>
      <c r="AB305" s="40"/>
    </row>
    <row r="306">
      <c r="G306" s="9"/>
      <c r="I306" s="244"/>
      <c r="J306" s="244"/>
      <c r="K306" s="244"/>
      <c r="U306" s="40"/>
      <c r="V306" s="40"/>
      <c r="W306" s="40"/>
      <c r="X306" s="40"/>
      <c r="Y306" s="40"/>
      <c r="Z306" s="40"/>
      <c r="AA306" s="40"/>
      <c r="AB306" s="40"/>
    </row>
    <row r="307">
      <c r="G307" s="9"/>
      <c r="I307" s="244"/>
      <c r="J307" s="244"/>
      <c r="K307" s="244"/>
      <c r="U307" s="40"/>
      <c r="V307" s="40"/>
      <c r="W307" s="40"/>
      <c r="X307" s="40"/>
      <c r="Y307" s="40"/>
      <c r="Z307" s="40"/>
      <c r="AA307" s="40"/>
      <c r="AB307" s="40"/>
    </row>
    <row r="308">
      <c r="G308" s="9"/>
      <c r="I308" s="244"/>
      <c r="J308" s="244"/>
      <c r="K308" s="244"/>
      <c r="U308" s="40"/>
      <c r="V308" s="40"/>
      <c r="W308" s="40"/>
      <c r="X308" s="40"/>
      <c r="Y308" s="40"/>
      <c r="Z308" s="40"/>
      <c r="AA308" s="40"/>
      <c r="AB308" s="40"/>
    </row>
    <row r="309">
      <c r="G309" s="9"/>
      <c r="I309" s="244"/>
      <c r="J309" s="244"/>
      <c r="K309" s="244"/>
      <c r="U309" s="40"/>
      <c r="V309" s="40"/>
      <c r="W309" s="40"/>
      <c r="X309" s="40"/>
      <c r="Y309" s="40"/>
      <c r="Z309" s="40"/>
      <c r="AA309" s="40"/>
      <c r="AB309" s="40"/>
    </row>
    <row r="310">
      <c r="G310" s="9"/>
      <c r="I310" s="244"/>
      <c r="J310" s="244"/>
      <c r="K310" s="244"/>
      <c r="U310" s="40"/>
      <c r="V310" s="40"/>
      <c r="W310" s="40"/>
      <c r="X310" s="40"/>
      <c r="Y310" s="40"/>
      <c r="Z310" s="40"/>
      <c r="AA310" s="40"/>
      <c r="AB310" s="40"/>
    </row>
    <row r="311">
      <c r="G311" s="9"/>
      <c r="I311" s="244"/>
      <c r="J311" s="244"/>
      <c r="K311" s="244"/>
      <c r="U311" s="40"/>
      <c r="V311" s="40"/>
      <c r="W311" s="40"/>
      <c r="X311" s="40"/>
      <c r="Y311" s="40"/>
      <c r="Z311" s="40"/>
      <c r="AA311" s="40"/>
      <c r="AB311" s="40"/>
    </row>
    <row r="312">
      <c r="G312" s="9"/>
      <c r="I312" s="244"/>
      <c r="J312" s="244"/>
      <c r="K312" s="244"/>
      <c r="U312" s="40"/>
      <c r="V312" s="40"/>
      <c r="W312" s="40"/>
      <c r="X312" s="40"/>
      <c r="Y312" s="40"/>
      <c r="Z312" s="40"/>
      <c r="AA312" s="40"/>
      <c r="AB312" s="40"/>
    </row>
    <row r="313">
      <c r="G313" s="9"/>
      <c r="I313" s="244"/>
      <c r="J313" s="244"/>
      <c r="K313" s="244"/>
      <c r="U313" s="40"/>
      <c r="V313" s="40"/>
      <c r="W313" s="40"/>
      <c r="X313" s="40"/>
      <c r="Y313" s="40"/>
      <c r="Z313" s="40"/>
      <c r="AA313" s="40"/>
      <c r="AB313" s="40"/>
    </row>
    <row r="314">
      <c r="G314" s="9"/>
      <c r="I314" s="244"/>
      <c r="J314" s="244"/>
      <c r="K314" s="244"/>
      <c r="U314" s="40"/>
      <c r="V314" s="40"/>
      <c r="W314" s="40"/>
      <c r="X314" s="40"/>
      <c r="Y314" s="40"/>
      <c r="Z314" s="40"/>
      <c r="AA314" s="40"/>
      <c r="AB314" s="40"/>
    </row>
    <row r="315">
      <c r="G315" s="9"/>
      <c r="I315" s="244"/>
      <c r="J315" s="244"/>
      <c r="K315" s="244"/>
      <c r="U315" s="40"/>
      <c r="V315" s="40"/>
      <c r="W315" s="40"/>
      <c r="X315" s="40"/>
      <c r="Y315" s="40"/>
      <c r="Z315" s="40"/>
      <c r="AA315" s="40"/>
      <c r="AB315" s="40"/>
    </row>
    <row r="316">
      <c r="G316" s="9"/>
      <c r="I316" s="244"/>
      <c r="J316" s="244"/>
      <c r="K316" s="244"/>
      <c r="U316" s="40"/>
      <c r="V316" s="40"/>
      <c r="W316" s="40"/>
      <c r="X316" s="40"/>
      <c r="Y316" s="40"/>
      <c r="Z316" s="40"/>
      <c r="AA316" s="40"/>
      <c r="AB316" s="40"/>
    </row>
    <row r="317">
      <c r="G317" s="9"/>
      <c r="I317" s="244"/>
      <c r="J317" s="244"/>
      <c r="K317" s="244"/>
      <c r="U317" s="40"/>
      <c r="V317" s="40"/>
      <c r="W317" s="40"/>
      <c r="X317" s="40"/>
      <c r="Y317" s="40"/>
      <c r="Z317" s="40"/>
      <c r="AA317" s="40"/>
      <c r="AB317" s="40"/>
    </row>
    <row r="318">
      <c r="G318" s="9"/>
      <c r="I318" s="244"/>
      <c r="J318" s="244"/>
      <c r="K318" s="244"/>
      <c r="U318" s="40"/>
      <c r="V318" s="40"/>
      <c r="W318" s="40"/>
      <c r="X318" s="40"/>
      <c r="Y318" s="40"/>
      <c r="Z318" s="40"/>
      <c r="AA318" s="40"/>
      <c r="AB318" s="40"/>
    </row>
    <row r="319">
      <c r="G319" s="9"/>
      <c r="I319" s="244"/>
      <c r="J319" s="244"/>
      <c r="K319" s="244"/>
      <c r="U319" s="40"/>
      <c r="V319" s="40"/>
      <c r="W319" s="40"/>
      <c r="X319" s="40"/>
      <c r="Y319" s="40"/>
      <c r="Z319" s="40"/>
      <c r="AA319" s="40"/>
      <c r="AB319" s="40"/>
    </row>
    <row r="320">
      <c r="G320" s="9"/>
      <c r="I320" s="244"/>
      <c r="J320" s="244"/>
      <c r="K320" s="244"/>
      <c r="U320" s="40"/>
      <c r="V320" s="40"/>
      <c r="W320" s="40"/>
      <c r="X320" s="40"/>
      <c r="Y320" s="40"/>
      <c r="Z320" s="40"/>
      <c r="AA320" s="40"/>
      <c r="AB320" s="40"/>
    </row>
    <row r="321">
      <c r="G321" s="9"/>
      <c r="I321" s="244"/>
      <c r="J321" s="244"/>
      <c r="K321" s="244"/>
      <c r="U321" s="40"/>
      <c r="V321" s="40"/>
      <c r="W321" s="40"/>
      <c r="X321" s="40"/>
      <c r="Y321" s="40"/>
      <c r="Z321" s="40"/>
      <c r="AA321" s="40"/>
      <c r="AB321" s="40"/>
    </row>
    <row r="322">
      <c r="G322" s="9"/>
      <c r="I322" s="244"/>
      <c r="J322" s="244"/>
      <c r="K322" s="244"/>
      <c r="U322" s="40"/>
      <c r="V322" s="40"/>
      <c r="W322" s="40"/>
      <c r="X322" s="40"/>
      <c r="Y322" s="40"/>
      <c r="Z322" s="40"/>
      <c r="AA322" s="40"/>
      <c r="AB322" s="40"/>
    </row>
    <row r="323">
      <c r="G323" s="9"/>
      <c r="I323" s="244"/>
      <c r="J323" s="244"/>
      <c r="K323" s="244"/>
      <c r="U323" s="40"/>
      <c r="V323" s="40"/>
      <c r="W323" s="40"/>
      <c r="X323" s="40"/>
      <c r="Y323" s="40"/>
      <c r="Z323" s="40"/>
      <c r="AA323" s="40"/>
      <c r="AB323" s="40"/>
    </row>
    <row r="324">
      <c r="G324" s="9"/>
      <c r="I324" s="244"/>
      <c r="J324" s="244"/>
      <c r="K324" s="244"/>
      <c r="U324" s="40"/>
      <c r="V324" s="40"/>
      <c r="W324" s="40"/>
      <c r="X324" s="40"/>
      <c r="Y324" s="40"/>
      <c r="Z324" s="40"/>
      <c r="AA324" s="40"/>
      <c r="AB324" s="40"/>
    </row>
    <row r="325">
      <c r="G325" s="9"/>
      <c r="I325" s="244"/>
      <c r="J325" s="244"/>
      <c r="K325" s="244"/>
      <c r="U325" s="40"/>
      <c r="V325" s="40"/>
      <c r="W325" s="40"/>
      <c r="X325" s="40"/>
      <c r="Y325" s="40"/>
      <c r="Z325" s="40"/>
      <c r="AA325" s="40"/>
      <c r="AB325" s="40"/>
    </row>
    <row r="326">
      <c r="G326" s="9"/>
      <c r="I326" s="244"/>
      <c r="J326" s="244"/>
      <c r="K326" s="244"/>
      <c r="U326" s="40"/>
      <c r="V326" s="40"/>
      <c r="W326" s="40"/>
      <c r="X326" s="40"/>
      <c r="Y326" s="40"/>
      <c r="Z326" s="40"/>
      <c r="AA326" s="40"/>
      <c r="AB326" s="40"/>
    </row>
    <row r="327">
      <c r="G327" s="9"/>
      <c r="I327" s="244"/>
      <c r="J327" s="244"/>
      <c r="K327" s="244"/>
      <c r="U327" s="40"/>
      <c r="V327" s="40"/>
      <c r="W327" s="40"/>
      <c r="X327" s="40"/>
      <c r="Y327" s="40"/>
      <c r="Z327" s="40"/>
      <c r="AA327" s="40"/>
      <c r="AB327" s="40"/>
    </row>
    <row r="328">
      <c r="G328" s="9"/>
      <c r="I328" s="244"/>
      <c r="J328" s="244"/>
      <c r="K328" s="244"/>
      <c r="U328" s="40"/>
      <c r="V328" s="40"/>
      <c r="W328" s="40"/>
      <c r="X328" s="40"/>
      <c r="Y328" s="40"/>
      <c r="Z328" s="40"/>
      <c r="AA328" s="40"/>
      <c r="AB328" s="40"/>
    </row>
    <row r="329">
      <c r="G329" s="9"/>
      <c r="I329" s="244"/>
      <c r="J329" s="244"/>
      <c r="K329" s="244"/>
      <c r="U329" s="40"/>
      <c r="V329" s="40"/>
      <c r="W329" s="40"/>
      <c r="X329" s="40"/>
      <c r="Y329" s="40"/>
      <c r="Z329" s="40"/>
      <c r="AA329" s="40"/>
      <c r="AB329" s="40"/>
    </row>
    <row r="330">
      <c r="G330" s="9"/>
      <c r="I330" s="244"/>
      <c r="J330" s="244"/>
      <c r="K330" s="244"/>
      <c r="U330" s="40"/>
      <c r="V330" s="40"/>
      <c r="W330" s="40"/>
      <c r="X330" s="40"/>
      <c r="Y330" s="40"/>
      <c r="Z330" s="40"/>
      <c r="AA330" s="40"/>
      <c r="AB330" s="40"/>
    </row>
    <row r="331">
      <c r="G331" s="9"/>
      <c r="I331" s="244"/>
      <c r="J331" s="244"/>
      <c r="K331" s="244"/>
      <c r="U331" s="40"/>
      <c r="V331" s="40"/>
      <c r="W331" s="40"/>
      <c r="X331" s="40"/>
      <c r="Y331" s="40"/>
      <c r="Z331" s="40"/>
      <c r="AA331" s="40"/>
      <c r="AB331" s="40"/>
    </row>
    <row r="332">
      <c r="G332" s="9"/>
      <c r="I332" s="244"/>
      <c r="J332" s="244"/>
      <c r="K332" s="244"/>
      <c r="U332" s="40"/>
      <c r="V332" s="40"/>
      <c r="W332" s="40"/>
      <c r="X332" s="40"/>
      <c r="Y332" s="40"/>
      <c r="Z332" s="40"/>
      <c r="AA332" s="40"/>
      <c r="AB332" s="40"/>
    </row>
    <row r="333">
      <c r="G333" s="9"/>
      <c r="I333" s="244"/>
      <c r="J333" s="244"/>
      <c r="K333" s="244"/>
      <c r="U333" s="40"/>
      <c r="V333" s="40"/>
      <c r="W333" s="40"/>
      <c r="X333" s="40"/>
      <c r="Y333" s="40"/>
      <c r="Z333" s="40"/>
      <c r="AA333" s="40"/>
      <c r="AB333" s="40"/>
    </row>
    <row r="334">
      <c r="G334" s="9"/>
      <c r="I334" s="244"/>
      <c r="J334" s="244"/>
      <c r="K334" s="244"/>
      <c r="U334" s="40"/>
      <c r="V334" s="40"/>
      <c r="W334" s="40"/>
      <c r="X334" s="40"/>
      <c r="Y334" s="40"/>
      <c r="Z334" s="40"/>
      <c r="AA334" s="40"/>
      <c r="AB334" s="40"/>
    </row>
    <row r="335">
      <c r="G335" s="9"/>
      <c r="I335" s="244"/>
      <c r="J335" s="244"/>
      <c r="K335" s="244"/>
      <c r="U335" s="40"/>
      <c r="V335" s="40"/>
      <c r="W335" s="40"/>
      <c r="X335" s="40"/>
      <c r="Y335" s="40"/>
      <c r="Z335" s="40"/>
      <c r="AA335" s="40"/>
      <c r="AB335" s="40"/>
    </row>
    <row r="336">
      <c r="G336" s="9"/>
      <c r="I336" s="244"/>
      <c r="J336" s="244"/>
      <c r="K336" s="244"/>
      <c r="U336" s="40"/>
      <c r="V336" s="40"/>
      <c r="W336" s="40"/>
      <c r="X336" s="40"/>
      <c r="Y336" s="40"/>
      <c r="Z336" s="40"/>
      <c r="AA336" s="40"/>
      <c r="AB336" s="40"/>
    </row>
    <row r="337">
      <c r="G337" s="9"/>
      <c r="I337" s="244"/>
      <c r="J337" s="244"/>
      <c r="K337" s="244"/>
      <c r="U337" s="40"/>
      <c r="V337" s="40"/>
      <c r="W337" s="40"/>
      <c r="X337" s="40"/>
      <c r="Y337" s="40"/>
      <c r="Z337" s="40"/>
      <c r="AA337" s="40"/>
      <c r="AB337" s="40"/>
    </row>
    <row r="338">
      <c r="G338" s="9"/>
      <c r="I338" s="244"/>
      <c r="J338" s="244"/>
      <c r="K338" s="244"/>
      <c r="U338" s="40"/>
      <c r="V338" s="40"/>
      <c r="W338" s="40"/>
      <c r="X338" s="40"/>
      <c r="Y338" s="40"/>
      <c r="Z338" s="40"/>
      <c r="AA338" s="40"/>
      <c r="AB338" s="40"/>
    </row>
    <row r="339">
      <c r="G339" s="9"/>
      <c r="I339" s="244"/>
      <c r="J339" s="244"/>
      <c r="K339" s="244"/>
      <c r="U339" s="40"/>
      <c r="V339" s="40"/>
      <c r="W339" s="40"/>
      <c r="X339" s="40"/>
      <c r="Y339" s="40"/>
      <c r="Z339" s="40"/>
      <c r="AA339" s="40"/>
      <c r="AB339" s="40"/>
    </row>
    <row r="340">
      <c r="G340" s="9"/>
      <c r="I340" s="244"/>
      <c r="J340" s="244"/>
      <c r="K340" s="244"/>
      <c r="U340" s="40"/>
      <c r="V340" s="40"/>
      <c r="W340" s="40"/>
      <c r="X340" s="40"/>
      <c r="Y340" s="40"/>
      <c r="Z340" s="40"/>
      <c r="AA340" s="40"/>
      <c r="AB340" s="40"/>
    </row>
    <row r="341">
      <c r="G341" s="9"/>
      <c r="I341" s="244"/>
      <c r="J341" s="244"/>
      <c r="K341" s="244"/>
      <c r="U341" s="40"/>
      <c r="V341" s="40"/>
      <c r="W341" s="40"/>
      <c r="X341" s="40"/>
      <c r="Y341" s="40"/>
      <c r="Z341" s="40"/>
      <c r="AA341" s="40"/>
      <c r="AB341" s="40"/>
    </row>
    <row r="342">
      <c r="G342" s="9"/>
      <c r="I342" s="244"/>
      <c r="J342" s="244"/>
      <c r="K342" s="244"/>
      <c r="U342" s="40"/>
      <c r="V342" s="40"/>
      <c r="W342" s="40"/>
      <c r="X342" s="40"/>
      <c r="Y342" s="40"/>
      <c r="Z342" s="40"/>
      <c r="AA342" s="40"/>
      <c r="AB342" s="40"/>
    </row>
    <row r="343">
      <c r="G343" s="9"/>
      <c r="I343" s="244"/>
      <c r="J343" s="244"/>
      <c r="K343" s="244"/>
      <c r="U343" s="40"/>
      <c r="V343" s="40"/>
      <c r="W343" s="40"/>
      <c r="X343" s="40"/>
      <c r="Y343" s="40"/>
      <c r="Z343" s="40"/>
      <c r="AA343" s="40"/>
      <c r="AB343" s="40"/>
    </row>
    <row r="344">
      <c r="G344" s="9"/>
      <c r="I344" s="244"/>
      <c r="J344" s="244"/>
      <c r="K344" s="244"/>
      <c r="U344" s="40"/>
      <c r="V344" s="40"/>
      <c r="W344" s="40"/>
      <c r="X344" s="40"/>
      <c r="Y344" s="40"/>
      <c r="Z344" s="40"/>
      <c r="AA344" s="40"/>
      <c r="AB344" s="40"/>
    </row>
    <row r="345">
      <c r="G345" s="9"/>
      <c r="I345" s="244"/>
      <c r="J345" s="244"/>
      <c r="K345" s="244"/>
      <c r="U345" s="40"/>
      <c r="V345" s="40"/>
      <c r="W345" s="40"/>
      <c r="X345" s="40"/>
      <c r="Y345" s="40"/>
      <c r="Z345" s="40"/>
      <c r="AA345" s="40"/>
      <c r="AB345" s="40"/>
    </row>
    <row r="346">
      <c r="G346" s="9"/>
      <c r="I346" s="244"/>
      <c r="J346" s="244"/>
      <c r="K346" s="244"/>
      <c r="U346" s="40"/>
      <c r="V346" s="40"/>
      <c r="W346" s="40"/>
      <c r="X346" s="40"/>
      <c r="Y346" s="40"/>
      <c r="Z346" s="40"/>
      <c r="AA346" s="40"/>
      <c r="AB346" s="40"/>
    </row>
    <row r="347">
      <c r="G347" s="9"/>
      <c r="I347" s="244"/>
      <c r="J347" s="244"/>
      <c r="K347" s="244"/>
      <c r="U347" s="40"/>
      <c r="V347" s="40"/>
      <c r="W347" s="40"/>
      <c r="X347" s="40"/>
      <c r="Y347" s="40"/>
      <c r="Z347" s="40"/>
      <c r="AA347" s="40"/>
      <c r="AB347" s="40"/>
    </row>
    <row r="348">
      <c r="G348" s="9"/>
      <c r="I348" s="244"/>
      <c r="J348" s="244"/>
      <c r="K348" s="244"/>
      <c r="U348" s="40"/>
      <c r="V348" s="40"/>
      <c r="W348" s="40"/>
      <c r="X348" s="40"/>
      <c r="Y348" s="40"/>
      <c r="Z348" s="40"/>
      <c r="AA348" s="40"/>
      <c r="AB348" s="40"/>
    </row>
    <row r="349">
      <c r="G349" s="9"/>
      <c r="I349" s="244"/>
      <c r="J349" s="244"/>
      <c r="K349" s="244"/>
      <c r="U349" s="40"/>
      <c r="V349" s="40"/>
      <c r="W349" s="40"/>
      <c r="X349" s="40"/>
      <c r="Y349" s="40"/>
      <c r="Z349" s="40"/>
      <c r="AA349" s="40"/>
      <c r="AB349" s="40"/>
    </row>
    <row r="350">
      <c r="G350" s="9"/>
      <c r="I350" s="244"/>
      <c r="J350" s="244"/>
      <c r="K350" s="244"/>
      <c r="U350" s="40"/>
      <c r="V350" s="40"/>
      <c r="W350" s="40"/>
      <c r="X350" s="40"/>
      <c r="Y350" s="40"/>
      <c r="Z350" s="40"/>
      <c r="AA350" s="40"/>
      <c r="AB350" s="40"/>
    </row>
    <row r="351">
      <c r="G351" s="9"/>
      <c r="I351" s="244"/>
      <c r="J351" s="244"/>
      <c r="K351" s="244"/>
      <c r="U351" s="40"/>
      <c r="V351" s="40"/>
      <c r="W351" s="40"/>
      <c r="X351" s="40"/>
      <c r="Y351" s="40"/>
      <c r="Z351" s="40"/>
      <c r="AA351" s="40"/>
      <c r="AB351" s="40"/>
    </row>
    <row r="352">
      <c r="G352" s="9"/>
      <c r="I352" s="244"/>
      <c r="J352" s="244"/>
      <c r="K352" s="244"/>
      <c r="U352" s="40"/>
      <c r="V352" s="40"/>
      <c r="W352" s="40"/>
      <c r="X352" s="40"/>
      <c r="Y352" s="40"/>
      <c r="Z352" s="40"/>
      <c r="AA352" s="40"/>
      <c r="AB352" s="40"/>
    </row>
    <row r="353">
      <c r="G353" s="9"/>
      <c r="I353" s="244"/>
      <c r="J353" s="244"/>
      <c r="K353" s="244"/>
      <c r="U353" s="40"/>
      <c r="V353" s="40"/>
      <c r="W353" s="40"/>
      <c r="X353" s="40"/>
      <c r="Y353" s="40"/>
      <c r="Z353" s="40"/>
      <c r="AA353" s="40"/>
      <c r="AB353" s="40"/>
    </row>
    <row r="354">
      <c r="G354" s="9"/>
      <c r="I354" s="244"/>
      <c r="J354" s="244"/>
      <c r="K354" s="244"/>
      <c r="U354" s="40"/>
      <c r="V354" s="40"/>
      <c r="W354" s="40"/>
      <c r="X354" s="40"/>
      <c r="Y354" s="40"/>
      <c r="Z354" s="40"/>
      <c r="AA354" s="40"/>
      <c r="AB354" s="40"/>
    </row>
    <row r="355">
      <c r="G355" s="9"/>
      <c r="I355" s="244"/>
      <c r="J355" s="244"/>
      <c r="K355" s="244"/>
      <c r="U355" s="40"/>
      <c r="V355" s="40"/>
      <c r="W355" s="40"/>
      <c r="X355" s="40"/>
      <c r="Y355" s="40"/>
      <c r="Z355" s="40"/>
      <c r="AA355" s="40"/>
      <c r="AB355" s="40"/>
    </row>
    <row r="356">
      <c r="G356" s="9"/>
      <c r="I356" s="244"/>
      <c r="J356" s="244"/>
      <c r="K356" s="244"/>
      <c r="U356" s="40"/>
      <c r="V356" s="40"/>
      <c r="W356" s="40"/>
      <c r="X356" s="40"/>
      <c r="Y356" s="40"/>
      <c r="Z356" s="40"/>
      <c r="AA356" s="40"/>
      <c r="AB356" s="40"/>
    </row>
    <row r="357">
      <c r="G357" s="9"/>
      <c r="I357" s="244"/>
      <c r="J357" s="244"/>
      <c r="K357" s="244"/>
      <c r="U357" s="40"/>
      <c r="V357" s="40"/>
      <c r="W357" s="40"/>
      <c r="X357" s="40"/>
      <c r="Y357" s="40"/>
      <c r="Z357" s="40"/>
      <c r="AA357" s="40"/>
      <c r="AB357" s="40"/>
    </row>
    <row r="358">
      <c r="G358" s="9"/>
      <c r="I358" s="244"/>
      <c r="J358" s="244"/>
      <c r="K358" s="244"/>
      <c r="U358" s="40"/>
      <c r="V358" s="40"/>
      <c r="W358" s="40"/>
      <c r="X358" s="40"/>
      <c r="Y358" s="40"/>
      <c r="Z358" s="40"/>
      <c r="AA358" s="40"/>
      <c r="AB358" s="40"/>
    </row>
    <row r="359">
      <c r="G359" s="9"/>
      <c r="I359" s="244"/>
      <c r="J359" s="244"/>
      <c r="K359" s="244"/>
      <c r="U359" s="40"/>
      <c r="V359" s="40"/>
      <c r="W359" s="40"/>
      <c r="X359" s="40"/>
      <c r="Y359" s="40"/>
      <c r="Z359" s="40"/>
      <c r="AA359" s="40"/>
      <c r="AB359" s="40"/>
    </row>
    <row r="360">
      <c r="G360" s="9"/>
      <c r="I360" s="244"/>
      <c r="J360" s="244"/>
      <c r="K360" s="244"/>
      <c r="U360" s="40"/>
      <c r="V360" s="40"/>
      <c r="W360" s="40"/>
      <c r="X360" s="40"/>
      <c r="Y360" s="40"/>
      <c r="Z360" s="40"/>
      <c r="AA360" s="40"/>
      <c r="AB360" s="40"/>
    </row>
    <row r="361">
      <c r="G361" s="9"/>
      <c r="I361" s="244"/>
      <c r="J361" s="244"/>
      <c r="K361" s="244"/>
      <c r="U361" s="40"/>
      <c r="V361" s="40"/>
      <c r="W361" s="40"/>
      <c r="X361" s="40"/>
      <c r="Y361" s="40"/>
      <c r="Z361" s="40"/>
      <c r="AA361" s="40"/>
      <c r="AB361" s="40"/>
    </row>
    <row r="362">
      <c r="G362" s="9"/>
      <c r="I362" s="244"/>
      <c r="J362" s="244"/>
      <c r="K362" s="244"/>
      <c r="U362" s="40"/>
      <c r="V362" s="40"/>
      <c r="W362" s="40"/>
      <c r="X362" s="40"/>
      <c r="Y362" s="40"/>
      <c r="Z362" s="40"/>
      <c r="AA362" s="40"/>
      <c r="AB362" s="40"/>
    </row>
    <row r="363">
      <c r="G363" s="9"/>
      <c r="I363" s="244"/>
      <c r="J363" s="244"/>
      <c r="K363" s="244"/>
      <c r="U363" s="40"/>
      <c r="V363" s="40"/>
      <c r="W363" s="40"/>
      <c r="X363" s="40"/>
      <c r="Y363" s="40"/>
      <c r="Z363" s="40"/>
      <c r="AA363" s="40"/>
      <c r="AB363" s="40"/>
    </row>
    <row r="364">
      <c r="G364" s="9"/>
      <c r="I364" s="244"/>
      <c r="J364" s="244"/>
      <c r="K364" s="244"/>
      <c r="U364" s="40"/>
      <c r="V364" s="40"/>
      <c r="W364" s="40"/>
      <c r="X364" s="40"/>
      <c r="Y364" s="40"/>
      <c r="Z364" s="40"/>
      <c r="AA364" s="40"/>
      <c r="AB364" s="40"/>
    </row>
    <row r="365">
      <c r="G365" s="9"/>
      <c r="I365" s="244"/>
      <c r="J365" s="244"/>
      <c r="K365" s="244"/>
      <c r="U365" s="40"/>
      <c r="V365" s="40"/>
      <c r="W365" s="40"/>
      <c r="X365" s="40"/>
      <c r="Y365" s="40"/>
      <c r="Z365" s="40"/>
      <c r="AA365" s="40"/>
      <c r="AB365" s="40"/>
    </row>
    <row r="366">
      <c r="G366" s="9"/>
      <c r="I366" s="244"/>
      <c r="J366" s="244"/>
      <c r="K366" s="244"/>
      <c r="U366" s="40"/>
      <c r="V366" s="40"/>
      <c r="W366" s="40"/>
      <c r="X366" s="40"/>
      <c r="Y366" s="40"/>
      <c r="Z366" s="40"/>
      <c r="AA366" s="40"/>
      <c r="AB366" s="40"/>
    </row>
    <row r="367">
      <c r="G367" s="9"/>
      <c r="I367" s="244"/>
      <c r="J367" s="244"/>
      <c r="K367" s="244"/>
      <c r="U367" s="40"/>
      <c r="V367" s="40"/>
      <c r="W367" s="40"/>
      <c r="X367" s="40"/>
      <c r="Y367" s="40"/>
      <c r="Z367" s="40"/>
      <c r="AA367" s="40"/>
      <c r="AB367" s="40"/>
    </row>
    <row r="368">
      <c r="G368" s="9"/>
      <c r="I368" s="244"/>
      <c r="J368" s="244"/>
      <c r="K368" s="244"/>
      <c r="U368" s="40"/>
      <c r="V368" s="40"/>
      <c r="W368" s="40"/>
      <c r="X368" s="40"/>
      <c r="Y368" s="40"/>
      <c r="Z368" s="40"/>
      <c r="AA368" s="40"/>
      <c r="AB368" s="40"/>
    </row>
    <row r="369">
      <c r="G369" s="9"/>
      <c r="I369" s="244"/>
      <c r="J369" s="244"/>
      <c r="K369" s="244"/>
      <c r="U369" s="40"/>
      <c r="V369" s="40"/>
      <c r="W369" s="40"/>
      <c r="X369" s="40"/>
      <c r="Y369" s="40"/>
      <c r="Z369" s="40"/>
      <c r="AA369" s="40"/>
      <c r="AB369" s="40"/>
    </row>
    <row r="370">
      <c r="G370" s="9"/>
      <c r="I370" s="244"/>
      <c r="J370" s="244"/>
      <c r="K370" s="244"/>
      <c r="U370" s="40"/>
      <c r="V370" s="40"/>
      <c r="W370" s="40"/>
      <c r="X370" s="40"/>
      <c r="Y370" s="40"/>
      <c r="Z370" s="40"/>
      <c r="AA370" s="40"/>
      <c r="AB370" s="40"/>
    </row>
    <row r="371">
      <c r="G371" s="9"/>
      <c r="I371" s="244"/>
      <c r="J371" s="244"/>
      <c r="K371" s="244"/>
      <c r="U371" s="40"/>
      <c r="V371" s="40"/>
      <c r="W371" s="40"/>
      <c r="X371" s="40"/>
      <c r="Y371" s="40"/>
      <c r="Z371" s="40"/>
      <c r="AA371" s="40"/>
      <c r="AB371" s="40"/>
    </row>
    <row r="372">
      <c r="G372" s="9"/>
      <c r="I372" s="244"/>
      <c r="J372" s="244"/>
      <c r="K372" s="244"/>
      <c r="U372" s="40"/>
      <c r="V372" s="40"/>
      <c r="W372" s="40"/>
      <c r="X372" s="40"/>
      <c r="Y372" s="40"/>
      <c r="Z372" s="40"/>
      <c r="AA372" s="40"/>
      <c r="AB372" s="40"/>
    </row>
    <row r="373">
      <c r="G373" s="9"/>
      <c r="I373" s="244"/>
      <c r="J373" s="244"/>
      <c r="K373" s="244"/>
      <c r="U373" s="40"/>
      <c r="V373" s="40"/>
      <c r="W373" s="40"/>
      <c r="X373" s="40"/>
      <c r="Y373" s="40"/>
      <c r="Z373" s="40"/>
      <c r="AA373" s="40"/>
      <c r="AB373" s="40"/>
    </row>
    <row r="374">
      <c r="G374" s="9"/>
      <c r="I374" s="244"/>
      <c r="J374" s="244"/>
      <c r="K374" s="244"/>
      <c r="U374" s="40"/>
      <c r="V374" s="40"/>
      <c r="W374" s="40"/>
      <c r="X374" s="40"/>
      <c r="Y374" s="40"/>
      <c r="Z374" s="40"/>
      <c r="AA374" s="40"/>
      <c r="AB374" s="40"/>
    </row>
    <row r="375">
      <c r="G375" s="9"/>
      <c r="I375" s="244"/>
      <c r="J375" s="244"/>
      <c r="K375" s="244"/>
      <c r="U375" s="40"/>
      <c r="V375" s="40"/>
      <c r="W375" s="40"/>
      <c r="X375" s="40"/>
      <c r="Y375" s="40"/>
      <c r="Z375" s="40"/>
      <c r="AA375" s="40"/>
      <c r="AB375" s="40"/>
    </row>
    <row r="376">
      <c r="G376" s="9"/>
      <c r="I376" s="244"/>
      <c r="J376" s="244"/>
      <c r="K376" s="244"/>
      <c r="U376" s="40"/>
      <c r="V376" s="40"/>
      <c r="W376" s="40"/>
      <c r="X376" s="40"/>
      <c r="Y376" s="40"/>
      <c r="Z376" s="40"/>
      <c r="AA376" s="40"/>
      <c r="AB376" s="40"/>
    </row>
    <row r="377">
      <c r="G377" s="9"/>
      <c r="I377" s="244"/>
      <c r="J377" s="244"/>
      <c r="K377" s="244"/>
      <c r="U377" s="40"/>
      <c r="V377" s="40"/>
      <c r="W377" s="40"/>
      <c r="X377" s="40"/>
      <c r="Y377" s="40"/>
      <c r="Z377" s="40"/>
      <c r="AA377" s="40"/>
      <c r="AB377" s="40"/>
    </row>
    <row r="378">
      <c r="G378" s="9"/>
      <c r="I378" s="244"/>
      <c r="J378" s="244"/>
      <c r="K378" s="244"/>
      <c r="U378" s="40"/>
      <c r="V378" s="40"/>
      <c r="W378" s="40"/>
      <c r="X378" s="40"/>
      <c r="Y378" s="40"/>
      <c r="Z378" s="40"/>
      <c r="AA378" s="40"/>
      <c r="AB378" s="40"/>
    </row>
    <row r="379">
      <c r="G379" s="9"/>
      <c r="I379" s="244"/>
      <c r="J379" s="244"/>
      <c r="K379" s="244"/>
      <c r="U379" s="40"/>
      <c r="V379" s="40"/>
      <c r="W379" s="40"/>
      <c r="X379" s="40"/>
      <c r="Y379" s="40"/>
      <c r="Z379" s="40"/>
      <c r="AA379" s="40"/>
      <c r="AB379" s="40"/>
    </row>
    <row r="380">
      <c r="G380" s="9"/>
      <c r="I380" s="244"/>
      <c r="J380" s="244"/>
      <c r="K380" s="244"/>
      <c r="U380" s="40"/>
      <c r="V380" s="40"/>
      <c r="W380" s="40"/>
      <c r="X380" s="40"/>
      <c r="Y380" s="40"/>
      <c r="Z380" s="40"/>
      <c r="AA380" s="40"/>
      <c r="AB380" s="40"/>
    </row>
    <row r="381">
      <c r="G381" s="9"/>
      <c r="I381" s="244"/>
      <c r="J381" s="244"/>
      <c r="K381" s="244"/>
      <c r="U381" s="40"/>
      <c r="V381" s="40"/>
      <c r="W381" s="40"/>
      <c r="X381" s="40"/>
      <c r="Y381" s="40"/>
      <c r="Z381" s="40"/>
      <c r="AA381" s="40"/>
      <c r="AB381" s="40"/>
    </row>
    <row r="382">
      <c r="G382" s="9"/>
      <c r="I382" s="244"/>
      <c r="J382" s="244"/>
      <c r="K382" s="244"/>
      <c r="U382" s="40"/>
      <c r="V382" s="40"/>
      <c r="W382" s="40"/>
      <c r="X382" s="40"/>
      <c r="Y382" s="40"/>
      <c r="Z382" s="40"/>
      <c r="AA382" s="40"/>
      <c r="AB382" s="40"/>
    </row>
    <row r="383">
      <c r="G383" s="9"/>
      <c r="I383" s="244"/>
      <c r="J383" s="244"/>
      <c r="K383" s="244"/>
      <c r="U383" s="40"/>
      <c r="V383" s="40"/>
      <c r="W383" s="40"/>
      <c r="X383" s="40"/>
      <c r="Y383" s="40"/>
      <c r="Z383" s="40"/>
      <c r="AA383" s="40"/>
      <c r="AB383" s="40"/>
    </row>
    <row r="384">
      <c r="G384" s="9"/>
      <c r="I384" s="244"/>
      <c r="J384" s="244"/>
      <c r="K384" s="244"/>
      <c r="U384" s="40"/>
      <c r="V384" s="40"/>
      <c r="W384" s="40"/>
      <c r="X384" s="40"/>
      <c r="Y384" s="40"/>
      <c r="Z384" s="40"/>
      <c r="AA384" s="40"/>
      <c r="AB384" s="40"/>
    </row>
    <row r="385">
      <c r="G385" s="9"/>
      <c r="I385" s="244"/>
      <c r="J385" s="244"/>
      <c r="K385" s="244"/>
      <c r="U385" s="40"/>
      <c r="V385" s="40"/>
      <c r="W385" s="40"/>
      <c r="X385" s="40"/>
      <c r="Y385" s="40"/>
      <c r="Z385" s="40"/>
      <c r="AA385" s="40"/>
      <c r="AB385" s="40"/>
    </row>
    <row r="386">
      <c r="G386" s="9"/>
      <c r="I386" s="244"/>
      <c r="J386" s="244"/>
      <c r="K386" s="244"/>
      <c r="U386" s="40"/>
      <c r="V386" s="40"/>
      <c r="W386" s="40"/>
      <c r="X386" s="40"/>
      <c r="Y386" s="40"/>
      <c r="Z386" s="40"/>
      <c r="AA386" s="40"/>
      <c r="AB386" s="40"/>
    </row>
    <row r="387">
      <c r="G387" s="9"/>
      <c r="I387" s="244"/>
      <c r="J387" s="244"/>
      <c r="K387" s="244"/>
      <c r="U387" s="40"/>
      <c r="V387" s="40"/>
      <c r="W387" s="40"/>
      <c r="X387" s="40"/>
      <c r="Y387" s="40"/>
      <c r="Z387" s="40"/>
      <c r="AA387" s="40"/>
      <c r="AB387" s="40"/>
    </row>
    <row r="388">
      <c r="G388" s="9"/>
      <c r="I388" s="244"/>
      <c r="J388" s="244"/>
      <c r="K388" s="244"/>
      <c r="U388" s="40"/>
      <c r="V388" s="40"/>
      <c r="W388" s="40"/>
      <c r="X388" s="40"/>
      <c r="Y388" s="40"/>
      <c r="Z388" s="40"/>
      <c r="AA388" s="40"/>
      <c r="AB388" s="40"/>
    </row>
    <row r="389">
      <c r="G389" s="9"/>
      <c r="I389" s="244"/>
      <c r="J389" s="244"/>
      <c r="K389" s="244"/>
      <c r="U389" s="40"/>
      <c r="V389" s="40"/>
      <c r="W389" s="40"/>
      <c r="X389" s="40"/>
      <c r="Y389" s="40"/>
      <c r="Z389" s="40"/>
      <c r="AA389" s="40"/>
      <c r="AB389" s="40"/>
    </row>
    <row r="390">
      <c r="G390" s="9"/>
      <c r="I390" s="244"/>
      <c r="J390" s="244"/>
      <c r="K390" s="244"/>
      <c r="U390" s="40"/>
      <c r="V390" s="40"/>
      <c r="W390" s="40"/>
      <c r="X390" s="40"/>
      <c r="Y390" s="40"/>
      <c r="Z390" s="40"/>
      <c r="AA390" s="40"/>
      <c r="AB390" s="40"/>
    </row>
    <row r="391">
      <c r="G391" s="9"/>
      <c r="I391" s="244"/>
      <c r="J391" s="244"/>
      <c r="K391" s="244"/>
      <c r="U391" s="40"/>
      <c r="V391" s="40"/>
      <c r="W391" s="40"/>
      <c r="X391" s="40"/>
      <c r="Y391" s="40"/>
      <c r="Z391" s="40"/>
      <c r="AA391" s="40"/>
      <c r="AB391" s="40"/>
    </row>
    <row r="392">
      <c r="G392" s="9"/>
      <c r="I392" s="244"/>
      <c r="J392" s="244"/>
      <c r="K392" s="244"/>
      <c r="U392" s="40"/>
      <c r="V392" s="40"/>
      <c r="W392" s="40"/>
      <c r="X392" s="40"/>
      <c r="Y392" s="40"/>
      <c r="Z392" s="40"/>
      <c r="AA392" s="40"/>
      <c r="AB392" s="40"/>
    </row>
    <row r="393">
      <c r="G393" s="9"/>
      <c r="I393" s="244"/>
      <c r="J393" s="244"/>
      <c r="K393" s="244"/>
      <c r="U393" s="40"/>
      <c r="V393" s="40"/>
      <c r="W393" s="40"/>
      <c r="X393" s="40"/>
      <c r="Y393" s="40"/>
      <c r="Z393" s="40"/>
      <c r="AA393" s="40"/>
      <c r="AB393" s="40"/>
    </row>
    <row r="394">
      <c r="G394" s="9"/>
      <c r="I394" s="244"/>
      <c r="J394" s="244"/>
      <c r="K394" s="244"/>
      <c r="U394" s="40"/>
      <c r="V394" s="40"/>
      <c r="W394" s="40"/>
      <c r="X394" s="40"/>
      <c r="Y394" s="40"/>
      <c r="Z394" s="40"/>
      <c r="AA394" s="40"/>
      <c r="AB394" s="40"/>
    </row>
    <row r="395">
      <c r="G395" s="9"/>
      <c r="I395" s="244"/>
      <c r="J395" s="244"/>
      <c r="K395" s="244"/>
      <c r="U395" s="40"/>
      <c r="V395" s="40"/>
      <c r="W395" s="40"/>
      <c r="X395" s="40"/>
      <c r="Y395" s="40"/>
      <c r="Z395" s="40"/>
      <c r="AA395" s="40"/>
      <c r="AB395" s="40"/>
    </row>
    <row r="396">
      <c r="G396" s="9"/>
      <c r="I396" s="244"/>
      <c r="J396" s="244"/>
      <c r="K396" s="244"/>
      <c r="U396" s="40"/>
      <c r="V396" s="40"/>
      <c r="W396" s="40"/>
      <c r="X396" s="40"/>
      <c r="Y396" s="40"/>
      <c r="Z396" s="40"/>
      <c r="AA396" s="40"/>
      <c r="AB396" s="40"/>
    </row>
    <row r="397">
      <c r="G397" s="9"/>
      <c r="I397" s="244"/>
      <c r="J397" s="244"/>
      <c r="K397" s="244"/>
      <c r="U397" s="40"/>
      <c r="V397" s="40"/>
      <c r="W397" s="40"/>
      <c r="X397" s="40"/>
      <c r="Y397" s="40"/>
      <c r="Z397" s="40"/>
      <c r="AA397" s="40"/>
      <c r="AB397" s="40"/>
    </row>
    <row r="398">
      <c r="G398" s="9"/>
      <c r="I398" s="244"/>
      <c r="J398" s="244"/>
      <c r="K398" s="244"/>
      <c r="U398" s="40"/>
      <c r="V398" s="40"/>
      <c r="W398" s="40"/>
      <c r="X398" s="40"/>
      <c r="Y398" s="40"/>
      <c r="Z398" s="40"/>
      <c r="AA398" s="40"/>
      <c r="AB398" s="40"/>
    </row>
    <row r="399">
      <c r="G399" s="9"/>
      <c r="I399" s="244"/>
      <c r="J399" s="244"/>
      <c r="K399" s="244"/>
      <c r="U399" s="40"/>
      <c r="V399" s="40"/>
      <c r="W399" s="40"/>
      <c r="X399" s="40"/>
      <c r="Y399" s="40"/>
      <c r="Z399" s="40"/>
      <c r="AA399" s="40"/>
      <c r="AB399" s="40"/>
    </row>
    <row r="400">
      <c r="G400" s="9"/>
      <c r="I400" s="244"/>
      <c r="J400" s="244"/>
      <c r="K400" s="244"/>
      <c r="U400" s="40"/>
      <c r="V400" s="40"/>
      <c r="W400" s="40"/>
      <c r="X400" s="40"/>
      <c r="Y400" s="40"/>
      <c r="Z400" s="40"/>
      <c r="AA400" s="40"/>
      <c r="AB400" s="40"/>
    </row>
    <row r="401">
      <c r="G401" s="9"/>
      <c r="I401" s="244"/>
      <c r="J401" s="244"/>
      <c r="K401" s="244"/>
      <c r="U401" s="40"/>
      <c r="V401" s="40"/>
      <c r="W401" s="40"/>
      <c r="X401" s="40"/>
      <c r="Y401" s="40"/>
      <c r="Z401" s="40"/>
      <c r="AA401" s="40"/>
      <c r="AB401" s="40"/>
    </row>
    <row r="402">
      <c r="G402" s="9"/>
      <c r="I402" s="244"/>
      <c r="J402" s="244"/>
      <c r="K402" s="244"/>
      <c r="U402" s="40"/>
      <c r="V402" s="40"/>
      <c r="W402" s="40"/>
      <c r="X402" s="40"/>
      <c r="Y402" s="40"/>
      <c r="Z402" s="40"/>
      <c r="AA402" s="40"/>
      <c r="AB402" s="40"/>
    </row>
    <row r="403">
      <c r="G403" s="9"/>
      <c r="I403" s="244"/>
      <c r="J403" s="244"/>
      <c r="K403" s="244"/>
      <c r="U403" s="40"/>
      <c r="V403" s="40"/>
      <c r="W403" s="40"/>
      <c r="X403" s="40"/>
      <c r="Y403" s="40"/>
      <c r="Z403" s="40"/>
      <c r="AA403" s="40"/>
      <c r="AB403" s="40"/>
    </row>
    <row r="404">
      <c r="G404" s="9"/>
      <c r="I404" s="244"/>
      <c r="J404" s="244"/>
      <c r="K404" s="244"/>
      <c r="U404" s="40"/>
      <c r="V404" s="40"/>
      <c r="W404" s="40"/>
      <c r="X404" s="40"/>
      <c r="Y404" s="40"/>
      <c r="Z404" s="40"/>
      <c r="AA404" s="40"/>
      <c r="AB404" s="40"/>
    </row>
    <row r="405">
      <c r="G405" s="9"/>
      <c r="I405" s="244"/>
      <c r="J405" s="244"/>
      <c r="K405" s="244"/>
      <c r="U405" s="40"/>
      <c r="V405" s="40"/>
      <c r="W405" s="40"/>
      <c r="X405" s="40"/>
      <c r="Y405" s="40"/>
      <c r="Z405" s="40"/>
      <c r="AA405" s="40"/>
      <c r="AB405" s="40"/>
    </row>
    <row r="406">
      <c r="G406" s="9"/>
      <c r="I406" s="244"/>
      <c r="J406" s="244"/>
      <c r="K406" s="244"/>
      <c r="U406" s="40"/>
      <c r="V406" s="40"/>
      <c r="W406" s="40"/>
      <c r="X406" s="40"/>
      <c r="Y406" s="40"/>
      <c r="Z406" s="40"/>
      <c r="AA406" s="40"/>
      <c r="AB406" s="40"/>
    </row>
    <row r="407">
      <c r="G407" s="9"/>
      <c r="I407" s="244"/>
      <c r="J407" s="244"/>
      <c r="K407" s="244"/>
      <c r="U407" s="40"/>
      <c r="V407" s="40"/>
      <c r="W407" s="40"/>
      <c r="X407" s="40"/>
      <c r="Y407" s="40"/>
      <c r="Z407" s="40"/>
      <c r="AA407" s="40"/>
      <c r="AB407" s="40"/>
    </row>
    <row r="408">
      <c r="G408" s="9"/>
      <c r="I408" s="244"/>
      <c r="J408" s="244"/>
      <c r="K408" s="244"/>
      <c r="U408" s="40"/>
      <c r="V408" s="40"/>
      <c r="W408" s="40"/>
      <c r="X408" s="40"/>
      <c r="Y408" s="40"/>
      <c r="Z408" s="40"/>
      <c r="AA408" s="40"/>
      <c r="AB408" s="40"/>
    </row>
    <row r="409">
      <c r="G409" s="9"/>
      <c r="I409" s="244"/>
      <c r="J409" s="244"/>
      <c r="K409" s="244"/>
      <c r="U409" s="40"/>
      <c r="V409" s="40"/>
      <c r="W409" s="40"/>
      <c r="X409" s="40"/>
      <c r="Y409" s="40"/>
      <c r="Z409" s="40"/>
      <c r="AA409" s="40"/>
      <c r="AB409" s="40"/>
    </row>
    <row r="410">
      <c r="G410" s="9"/>
      <c r="I410" s="244"/>
      <c r="J410" s="244"/>
      <c r="K410" s="244"/>
      <c r="U410" s="40"/>
      <c r="V410" s="40"/>
      <c r="W410" s="40"/>
      <c r="X410" s="40"/>
      <c r="Y410" s="40"/>
      <c r="Z410" s="40"/>
      <c r="AA410" s="40"/>
      <c r="AB410" s="40"/>
    </row>
    <row r="411">
      <c r="G411" s="9"/>
      <c r="I411" s="244"/>
      <c r="J411" s="244"/>
      <c r="K411" s="244"/>
      <c r="U411" s="40"/>
      <c r="V411" s="40"/>
      <c r="W411" s="40"/>
      <c r="X411" s="40"/>
      <c r="Y411" s="40"/>
      <c r="Z411" s="40"/>
      <c r="AA411" s="40"/>
      <c r="AB411" s="40"/>
    </row>
    <row r="412">
      <c r="G412" s="9"/>
      <c r="I412" s="244"/>
      <c r="J412" s="244"/>
      <c r="K412" s="244"/>
      <c r="U412" s="40"/>
      <c r="V412" s="40"/>
      <c r="W412" s="40"/>
      <c r="X412" s="40"/>
      <c r="Y412" s="40"/>
      <c r="Z412" s="40"/>
      <c r="AA412" s="40"/>
      <c r="AB412" s="40"/>
    </row>
    <row r="413">
      <c r="G413" s="9"/>
      <c r="I413" s="244"/>
      <c r="J413" s="244"/>
      <c r="K413" s="244"/>
      <c r="U413" s="40"/>
      <c r="V413" s="40"/>
      <c r="W413" s="40"/>
      <c r="X413" s="40"/>
      <c r="Y413" s="40"/>
      <c r="Z413" s="40"/>
      <c r="AA413" s="40"/>
      <c r="AB413" s="40"/>
    </row>
    <row r="414">
      <c r="G414" s="9"/>
      <c r="I414" s="244"/>
      <c r="J414" s="244"/>
      <c r="K414" s="244"/>
      <c r="U414" s="40"/>
      <c r="V414" s="40"/>
      <c r="W414" s="40"/>
      <c r="X414" s="40"/>
      <c r="Y414" s="40"/>
      <c r="Z414" s="40"/>
      <c r="AA414" s="40"/>
      <c r="AB414" s="40"/>
    </row>
    <row r="415">
      <c r="G415" s="9"/>
      <c r="I415" s="244"/>
      <c r="J415" s="244"/>
      <c r="K415" s="244"/>
      <c r="U415" s="40"/>
      <c r="V415" s="40"/>
      <c r="W415" s="40"/>
      <c r="X415" s="40"/>
      <c r="Y415" s="40"/>
      <c r="Z415" s="40"/>
      <c r="AA415" s="40"/>
      <c r="AB415" s="40"/>
    </row>
    <row r="416">
      <c r="G416" s="9"/>
      <c r="I416" s="244"/>
      <c r="J416" s="244"/>
      <c r="K416" s="244"/>
      <c r="U416" s="40"/>
      <c r="V416" s="40"/>
      <c r="W416" s="40"/>
      <c r="X416" s="40"/>
      <c r="Y416" s="40"/>
      <c r="Z416" s="40"/>
      <c r="AA416" s="40"/>
      <c r="AB416" s="40"/>
    </row>
    <row r="417">
      <c r="G417" s="9"/>
      <c r="I417" s="244"/>
      <c r="J417" s="244"/>
      <c r="K417" s="244"/>
      <c r="U417" s="40"/>
      <c r="V417" s="40"/>
      <c r="W417" s="40"/>
      <c r="X417" s="40"/>
      <c r="Y417" s="40"/>
      <c r="Z417" s="40"/>
      <c r="AA417" s="40"/>
      <c r="AB417" s="40"/>
    </row>
    <row r="418">
      <c r="G418" s="9"/>
      <c r="I418" s="244"/>
      <c r="J418" s="244"/>
      <c r="K418" s="244"/>
      <c r="U418" s="40"/>
      <c r="V418" s="40"/>
      <c r="W418" s="40"/>
      <c r="X418" s="40"/>
      <c r="Y418" s="40"/>
      <c r="Z418" s="40"/>
      <c r="AA418" s="40"/>
      <c r="AB418" s="40"/>
    </row>
    <row r="419">
      <c r="G419" s="9"/>
      <c r="I419" s="244"/>
      <c r="J419" s="244"/>
      <c r="K419" s="244"/>
      <c r="U419" s="40"/>
      <c r="V419" s="40"/>
      <c r="W419" s="40"/>
      <c r="X419" s="40"/>
      <c r="Y419" s="40"/>
      <c r="Z419" s="40"/>
      <c r="AA419" s="40"/>
      <c r="AB419" s="40"/>
    </row>
    <row r="420">
      <c r="G420" s="9"/>
      <c r="I420" s="244"/>
      <c r="J420" s="244"/>
      <c r="K420" s="244"/>
      <c r="U420" s="40"/>
      <c r="V420" s="40"/>
      <c r="W420" s="40"/>
      <c r="X420" s="40"/>
      <c r="Y420" s="40"/>
      <c r="Z420" s="40"/>
      <c r="AA420" s="40"/>
      <c r="AB420" s="40"/>
    </row>
    <row r="421">
      <c r="G421" s="9"/>
      <c r="I421" s="244"/>
      <c r="J421" s="244"/>
      <c r="K421" s="244"/>
      <c r="U421" s="40"/>
      <c r="V421" s="40"/>
      <c r="W421" s="40"/>
      <c r="X421" s="40"/>
      <c r="Y421" s="40"/>
      <c r="Z421" s="40"/>
      <c r="AA421" s="40"/>
      <c r="AB421" s="40"/>
    </row>
    <row r="422">
      <c r="G422" s="9"/>
      <c r="I422" s="244"/>
      <c r="J422" s="244"/>
      <c r="K422" s="244"/>
      <c r="U422" s="40"/>
      <c r="V422" s="40"/>
      <c r="W422" s="40"/>
      <c r="X422" s="40"/>
      <c r="Y422" s="40"/>
      <c r="Z422" s="40"/>
      <c r="AA422" s="40"/>
      <c r="AB422" s="40"/>
    </row>
    <row r="423">
      <c r="G423" s="9"/>
      <c r="I423" s="244"/>
      <c r="J423" s="244"/>
      <c r="K423" s="244"/>
      <c r="U423" s="40"/>
      <c r="V423" s="40"/>
      <c r="W423" s="40"/>
      <c r="X423" s="40"/>
      <c r="Y423" s="40"/>
      <c r="Z423" s="40"/>
      <c r="AA423" s="40"/>
      <c r="AB423" s="40"/>
    </row>
    <row r="424">
      <c r="G424" s="9"/>
      <c r="I424" s="244"/>
      <c r="J424" s="244"/>
      <c r="K424" s="244"/>
      <c r="U424" s="40"/>
      <c r="V424" s="40"/>
      <c r="W424" s="40"/>
      <c r="X424" s="40"/>
      <c r="Y424" s="40"/>
      <c r="Z424" s="40"/>
      <c r="AA424" s="40"/>
      <c r="AB424" s="40"/>
    </row>
    <row r="425">
      <c r="G425" s="9"/>
      <c r="I425" s="244"/>
      <c r="J425" s="244"/>
      <c r="K425" s="244"/>
      <c r="U425" s="40"/>
      <c r="V425" s="40"/>
      <c r="W425" s="40"/>
      <c r="X425" s="40"/>
      <c r="Y425" s="40"/>
      <c r="Z425" s="40"/>
      <c r="AA425" s="40"/>
      <c r="AB425" s="40"/>
    </row>
    <row r="426">
      <c r="G426" s="9"/>
      <c r="I426" s="244"/>
      <c r="J426" s="244"/>
      <c r="K426" s="244"/>
      <c r="U426" s="40"/>
      <c r="V426" s="40"/>
      <c r="W426" s="40"/>
      <c r="X426" s="40"/>
      <c r="Y426" s="40"/>
      <c r="Z426" s="40"/>
      <c r="AA426" s="40"/>
      <c r="AB426" s="40"/>
    </row>
    <row r="427">
      <c r="G427" s="9"/>
      <c r="I427" s="244"/>
      <c r="J427" s="244"/>
      <c r="K427" s="244"/>
      <c r="U427" s="40"/>
      <c r="V427" s="40"/>
      <c r="W427" s="40"/>
      <c r="X427" s="40"/>
      <c r="Y427" s="40"/>
      <c r="Z427" s="40"/>
      <c r="AA427" s="40"/>
      <c r="AB427" s="40"/>
    </row>
    <row r="428">
      <c r="G428" s="9"/>
      <c r="I428" s="244"/>
      <c r="J428" s="244"/>
      <c r="K428" s="244"/>
      <c r="U428" s="40"/>
      <c r="V428" s="40"/>
      <c r="W428" s="40"/>
      <c r="X428" s="40"/>
      <c r="Y428" s="40"/>
      <c r="Z428" s="40"/>
      <c r="AA428" s="40"/>
      <c r="AB428" s="40"/>
    </row>
    <row r="429">
      <c r="G429" s="9"/>
      <c r="I429" s="244"/>
      <c r="J429" s="244"/>
      <c r="K429" s="244"/>
      <c r="U429" s="40"/>
      <c r="V429" s="40"/>
      <c r="W429" s="40"/>
      <c r="X429" s="40"/>
      <c r="Y429" s="40"/>
      <c r="Z429" s="40"/>
      <c r="AA429" s="40"/>
      <c r="AB429" s="40"/>
    </row>
    <row r="430">
      <c r="G430" s="9"/>
      <c r="I430" s="244"/>
      <c r="J430" s="244"/>
      <c r="K430" s="244"/>
      <c r="U430" s="40"/>
      <c r="V430" s="40"/>
      <c r="W430" s="40"/>
      <c r="X430" s="40"/>
      <c r="Y430" s="40"/>
      <c r="Z430" s="40"/>
      <c r="AA430" s="40"/>
      <c r="AB430" s="40"/>
    </row>
    <row r="431">
      <c r="G431" s="9"/>
      <c r="I431" s="244"/>
      <c r="J431" s="244"/>
      <c r="K431" s="244"/>
      <c r="U431" s="40"/>
      <c r="V431" s="40"/>
      <c r="W431" s="40"/>
      <c r="X431" s="40"/>
      <c r="Y431" s="40"/>
      <c r="Z431" s="40"/>
      <c r="AA431" s="40"/>
      <c r="AB431" s="40"/>
    </row>
    <row r="432">
      <c r="G432" s="9"/>
      <c r="I432" s="244"/>
      <c r="J432" s="244"/>
      <c r="K432" s="244"/>
      <c r="U432" s="40"/>
      <c r="V432" s="40"/>
      <c r="W432" s="40"/>
      <c r="X432" s="40"/>
      <c r="Y432" s="40"/>
      <c r="Z432" s="40"/>
      <c r="AA432" s="40"/>
      <c r="AB432" s="40"/>
    </row>
    <row r="433">
      <c r="G433" s="9"/>
      <c r="I433" s="244"/>
      <c r="J433" s="244"/>
      <c r="K433" s="244"/>
      <c r="U433" s="40"/>
      <c r="V433" s="40"/>
      <c r="W433" s="40"/>
      <c r="X433" s="40"/>
      <c r="Y433" s="40"/>
      <c r="Z433" s="40"/>
      <c r="AA433" s="40"/>
      <c r="AB433" s="40"/>
    </row>
    <row r="434">
      <c r="G434" s="9"/>
      <c r="I434" s="244"/>
      <c r="J434" s="244"/>
      <c r="K434" s="244"/>
      <c r="U434" s="40"/>
      <c r="V434" s="40"/>
      <c r="W434" s="40"/>
      <c r="X434" s="40"/>
      <c r="Y434" s="40"/>
      <c r="Z434" s="40"/>
      <c r="AA434" s="40"/>
      <c r="AB434" s="40"/>
    </row>
    <row r="435">
      <c r="G435" s="9"/>
      <c r="I435" s="244"/>
      <c r="J435" s="244"/>
      <c r="K435" s="244"/>
      <c r="U435" s="40"/>
      <c r="V435" s="40"/>
      <c r="W435" s="40"/>
      <c r="X435" s="40"/>
      <c r="Y435" s="40"/>
      <c r="Z435" s="40"/>
      <c r="AA435" s="40"/>
      <c r="AB435" s="40"/>
    </row>
    <row r="436">
      <c r="G436" s="9"/>
      <c r="I436" s="244"/>
      <c r="J436" s="244"/>
      <c r="K436" s="244"/>
      <c r="U436" s="40"/>
      <c r="V436" s="40"/>
      <c r="W436" s="40"/>
      <c r="X436" s="40"/>
      <c r="Y436" s="40"/>
      <c r="Z436" s="40"/>
      <c r="AA436" s="40"/>
      <c r="AB436" s="40"/>
    </row>
    <row r="437">
      <c r="G437" s="9"/>
      <c r="I437" s="244"/>
      <c r="J437" s="244"/>
      <c r="K437" s="244"/>
      <c r="U437" s="40"/>
      <c r="V437" s="40"/>
      <c r="W437" s="40"/>
      <c r="X437" s="40"/>
      <c r="Y437" s="40"/>
      <c r="Z437" s="40"/>
      <c r="AA437" s="40"/>
      <c r="AB437" s="40"/>
    </row>
    <row r="438">
      <c r="G438" s="9"/>
      <c r="I438" s="244"/>
      <c r="J438" s="244"/>
      <c r="K438" s="244"/>
      <c r="U438" s="40"/>
      <c r="V438" s="40"/>
      <c r="W438" s="40"/>
      <c r="X438" s="40"/>
      <c r="Y438" s="40"/>
      <c r="Z438" s="40"/>
      <c r="AA438" s="40"/>
      <c r="AB438" s="40"/>
    </row>
    <row r="439">
      <c r="G439" s="9"/>
      <c r="I439" s="244"/>
      <c r="J439" s="244"/>
      <c r="K439" s="244"/>
      <c r="U439" s="40"/>
      <c r="V439" s="40"/>
      <c r="W439" s="40"/>
      <c r="X439" s="40"/>
      <c r="Y439" s="40"/>
      <c r="Z439" s="40"/>
      <c r="AA439" s="40"/>
      <c r="AB439" s="40"/>
    </row>
    <row r="440">
      <c r="G440" s="9"/>
      <c r="I440" s="244"/>
      <c r="J440" s="244"/>
      <c r="K440" s="244"/>
      <c r="U440" s="40"/>
      <c r="V440" s="40"/>
      <c r="W440" s="40"/>
      <c r="X440" s="40"/>
      <c r="Y440" s="40"/>
      <c r="Z440" s="40"/>
      <c r="AA440" s="40"/>
      <c r="AB440" s="40"/>
    </row>
    <row r="441">
      <c r="G441" s="9"/>
      <c r="I441" s="244"/>
      <c r="J441" s="244"/>
      <c r="K441" s="244"/>
      <c r="U441" s="40"/>
      <c r="V441" s="40"/>
      <c r="W441" s="40"/>
      <c r="X441" s="40"/>
      <c r="Y441" s="40"/>
      <c r="Z441" s="40"/>
      <c r="AA441" s="40"/>
      <c r="AB441" s="40"/>
    </row>
    <row r="442">
      <c r="G442" s="9"/>
      <c r="I442" s="244"/>
      <c r="J442" s="244"/>
      <c r="K442" s="244"/>
      <c r="U442" s="40"/>
      <c r="V442" s="40"/>
      <c r="W442" s="40"/>
      <c r="X442" s="40"/>
      <c r="Y442" s="40"/>
      <c r="Z442" s="40"/>
      <c r="AA442" s="40"/>
      <c r="AB442" s="40"/>
    </row>
    <row r="443">
      <c r="G443" s="9"/>
      <c r="I443" s="244"/>
      <c r="J443" s="244"/>
      <c r="K443" s="244"/>
      <c r="U443" s="40"/>
      <c r="V443" s="40"/>
      <c r="W443" s="40"/>
      <c r="X443" s="40"/>
      <c r="Y443" s="40"/>
      <c r="Z443" s="40"/>
      <c r="AA443" s="40"/>
      <c r="AB443" s="40"/>
    </row>
    <row r="444">
      <c r="G444" s="9"/>
      <c r="I444" s="244"/>
      <c r="J444" s="244"/>
      <c r="K444" s="244"/>
      <c r="U444" s="40"/>
      <c r="V444" s="40"/>
      <c r="W444" s="40"/>
      <c r="X444" s="40"/>
      <c r="Y444" s="40"/>
      <c r="Z444" s="40"/>
      <c r="AA444" s="40"/>
      <c r="AB444" s="40"/>
    </row>
    <row r="445">
      <c r="G445" s="9"/>
      <c r="I445" s="244"/>
      <c r="J445" s="244"/>
      <c r="K445" s="244"/>
      <c r="U445" s="40"/>
      <c r="V445" s="40"/>
      <c r="W445" s="40"/>
      <c r="X445" s="40"/>
      <c r="Y445" s="40"/>
      <c r="Z445" s="40"/>
      <c r="AA445" s="40"/>
      <c r="AB445" s="40"/>
    </row>
    <row r="446">
      <c r="G446" s="9"/>
      <c r="I446" s="244"/>
      <c r="J446" s="244"/>
      <c r="K446" s="244"/>
      <c r="U446" s="40"/>
      <c r="V446" s="40"/>
      <c r="W446" s="40"/>
      <c r="X446" s="40"/>
      <c r="Y446" s="40"/>
      <c r="Z446" s="40"/>
      <c r="AA446" s="40"/>
      <c r="AB446" s="40"/>
    </row>
    <row r="447">
      <c r="G447" s="9"/>
      <c r="I447" s="244"/>
      <c r="J447" s="244"/>
      <c r="K447" s="244"/>
      <c r="U447" s="40"/>
      <c r="V447" s="40"/>
      <c r="W447" s="40"/>
      <c r="X447" s="40"/>
      <c r="Y447" s="40"/>
      <c r="Z447" s="40"/>
      <c r="AA447" s="40"/>
      <c r="AB447" s="40"/>
    </row>
    <row r="448">
      <c r="G448" s="9"/>
      <c r="I448" s="244"/>
      <c r="J448" s="244"/>
      <c r="K448" s="244"/>
      <c r="U448" s="40"/>
      <c r="V448" s="40"/>
      <c r="W448" s="40"/>
      <c r="X448" s="40"/>
      <c r="Y448" s="40"/>
      <c r="Z448" s="40"/>
      <c r="AA448" s="40"/>
      <c r="AB448" s="40"/>
    </row>
    <row r="449">
      <c r="G449" s="9"/>
      <c r="I449" s="244"/>
      <c r="J449" s="244"/>
      <c r="K449" s="244"/>
      <c r="U449" s="40"/>
      <c r="V449" s="40"/>
      <c r="W449" s="40"/>
      <c r="X449" s="40"/>
      <c r="Y449" s="40"/>
      <c r="Z449" s="40"/>
      <c r="AA449" s="40"/>
      <c r="AB449" s="40"/>
    </row>
    <row r="450">
      <c r="G450" s="9"/>
      <c r="I450" s="244"/>
      <c r="J450" s="244"/>
      <c r="K450" s="244"/>
      <c r="U450" s="40"/>
      <c r="V450" s="40"/>
      <c r="W450" s="40"/>
      <c r="X450" s="40"/>
      <c r="Y450" s="40"/>
      <c r="Z450" s="40"/>
      <c r="AA450" s="40"/>
      <c r="AB450" s="40"/>
    </row>
    <row r="451">
      <c r="G451" s="9"/>
      <c r="I451" s="244"/>
      <c r="J451" s="244"/>
      <c r="K451" s="244"/>
      <c r="U451" s="40"/>
      <c r="V451" s="40"/>
      <c r="W451" s="40"/>
      <c r="X451" s="40"/>
      <c r="Y451" s="40"/>
      <c r="Z451" s="40"/>
      <c r="AA451" s="40"/>
      <c r="AB451" s="40"/>
    </row>
    <row r="452">
      <c r="G452" s="9"/>
      <c r="I452" s="244"/>
      <c r="J452" s="244"/>
      <c r="K452" s="244"/>
      <c r="U452" s="40"/>
      <c r="V452" s="40"/>
      <c r="W452" s="40"/>
      <c r="X452" s="40"/>
      <c r="Y452" s="40"/>
      <c r="Z452" s="40"/>
      <c r="AA452" s="40"/>
      <c r="AB452" s="40"/>
    </row>
    <row r="453">
      <c r="G453" s="9"/>
      <c r="I453" s="244"/>
      <c r="J453" s="244"/>
      <c r="K453" s="244"/>
      <c r="U453" s="40"/>
      <c r="V453" s="40"/>
      <c r="W453" s="40"/>
      <c r="X453" s="40"/>
      <c r="Y453" s="40"/>
      <c r="Z453" s="40"/>
      <c r="AA453" s="40"/>
      <c r="AB453" s="40"/>
    </row>
    <row r="454">
      <c r="G454" s="9"/>
      <c r="I454" s="244"/>
      <c r="J454" s="244"/>
      <c r="K454" s="244"/>
      <c r="U454" s="40"/>
      <c r="V454" s="40"/>
      <c r="W454" s="40"/>
      <c r="X454" s="40"/>
      <c r="Y454" s="40"/>
      <c r="Z454" s="40"/>
      <c r="AA454" s="40"/>
      <c r="AB454" s="40"/>
    </row>
    <row r="455">
      <c r="G455" s="9"/>
      <c r="I455" s="244"/>
      <c r="J455" s="244"/>
      <c r="K455" s="244"/>
      <c r="U455" s="40"/>
      <c r="V455" s="40"/>
      <c r="W455" s="40"/>
      <c r="X455" s="40"/>
      <c r="Y455" s="40"/>
      <c r="Z455" s="40"/>
      <c r="AA455" s="40"/>
      <c r="AB455" s="40"/>
    </row>
    <row r="456">
      <c r="G456" s="9"/>
      <c r="I456" s="244"/>
      <c r="J456" s="244"/>
      <c r="K456" s="244"/>
      <c r="U456" s="40"/>
      <c r="V456" s="40"/>
      <c r="W456" s="40"/>
      <c r="X456" s="40"/>
      <c r="Y456" s="40"/>
      <c r="Z456" s="40"/>
      <c r="AA456" s="40"/>
      <c r="AB456" s="40"/>
    </row>
    <row r="457">
      <c r="G457" s="9"/>
      <c r="I457" s="244"/>
      <c r="J457" s="244"/>
      <c r="K457" s="244"/>
      <c r="U457" s="40"/>
      <c r="V457" s="40"/>
      <c r="W457" s="40"/>
      <c r="X457" s="40"/>
      <c r="Y457" s="40"/>
      <c r="Z457" s="40"/>
      <c r="AA457" s="40"/>
      <c r="AB457" s="40"/>
    </row>
    <row r="458">
      <c r="G458" s="9"/>
      <c r="I458" s="244"/>
      <c r="J458" s="244"/>
      <c r="K458" s="244"/>
      <c r="U458" s="40"/>
      <c r="V458" s="40"/>
      <c r="W458" s="40"/>
      <c r="X458" s="40"/>
      <c r="Y458" s="40"/>
      <c r="Z458" s="40"/>
      <c r="AA458" s="40"/>
      <c r="AB458" s="40"/>
    </row>
    <row r="459">
      <c r="G459" s="9"/>
      <c r="I459" s="244"/>
      <c r="J459" s="244"/>
      <c r="K459" s="244"/>
      <c r="U459" s="40"/>
      <c r="V459" s="40"/>
      <c r="W459" s="40"/>
      <c r="X459" s="40"/>
      <c r="Y459" s="40"/>
      <c r="Z459" s="40"/>
      <c r="AA459" s="40"/>
      <c r="AB459" s="40"/>
    </row>
    <row r="460">
      <c r="G460" s="9"/>
      <c r="I460" s="244"/>
      <c r="J460" s="244"/>
      <c r="K460" s="244"/>
      <c r="U460" s="40"/>
      <c r="V460" s="40"/>
      <c r="W460" s="40"/>
      <c r="X460" s="40"/>
      <c r="Y460" s="40"/>
      <c r="Z460" s="40"/>
      <c r="AA460" s="40"/>
      <c r="AB460" s="40"/>
    </row>
    <row r="461">
      <c r="G461" s="9"/>
      <c r="I461" s="244"/>
      <c r="J461" s="244"/>
      <c r="K461" s="244"/>
      <c r="U461" s="40"/>
      <c r="V461" s="40"/>
      <c r="W461" s="40"/>
      <c r="X461" s="40"/>
      <c r="Y461" s="40"/>
      <c r="Z461" s="40"/>
      <c r="AA461" s="40"/>
      <c r="AB461" s="40"/>
    </row>
    <row r="462">
      <c r="G462" s="9"/>
      <c r="I462" s="244"/>
      <c r="J462" s="244"/>
      <c r="K462" s="244"/>
      <c r="U462" s="40"/>
      <c r="V462" s="40"/>
      <c r="W462" s="40"/>
      <c r="X462" s="40"/>
      <c r="Y462" s="40"/>
      <c r="Z462" s="40"/>
      <c r="AA462" s="40"/>
      <c r="AB462" s="40"/>
    </row>
    <row r="463">
      <c r="G463" s="9"/>
      <c r="I463" s="244"/>
      <c r="J463" s="244"/>
      <c r="K463" s="244"/>
      <c r="U463" s="40"/>
      <c r="V463" s="40"/>
      <c r="W463" s="40"/>
      <c r="X463" s="40"/>
      <c r="Y463" s="40"/>
      <c r="Z463" s="40"/>
      <c r="AA463" s="40"/>
      <c r="AB463" s="40"/>
    </row>
    <row r="464">
      <c r="G464" s="9"/>
      <c r="I464" s="244"/>
      <c r="J464" s="244"/>
      <c r="K464" s="244"/>
      <c r="U464" s="40"/>
      <c r="V464" s="40"/>
      <c r="W464" s="40"/>
      <c r="X464" s="40"/>
      <c r="Y464" s="40"/>
      <c r="Z464" s="40"/>
      <c r="AA464" s="40"/>
      <c r="AB464" s="40"/>
    </row>
    <row r="465">
      <c r="G465" s="9"/>
      <c r="I465" s="244"/>
      <c r="J465" s="244"/>
      <c r="K465" s="244"/>
      <c r="U465" s="40"/>
      <c r="V465" s="40"/>
      <c r="W465" s="40"/>
      <c r="X465" s="40"/>
      <c r="Y465" s="40"/>
      <c r="Z465" s="40"/>
      <c r="AA465" s="40"/>
      <c r="AB465" s="40"/>
    </row>
    <row r="466">
      <c r="G466" s="9"/>
      <c r="I466" s="244"/>
      <c r="J466" s="244"/>
      <c r="K466" s="244"/>
      <c r="U466" s="40"/>
      <c r="V466" s="40"/>
      <c r="W466" s="40"/>
      <c r="X466" s="40"/>
      <c r="Y466" s="40"/>
      <c r="Z466" s="40"/>
      <c r="AA466" s="40"/>
      <c r="AB466" s="40"/>
    </row>
    <row r="467">
      <c r="G467" s="9"/>
      <c r="I467" s="244"/>
      <c r="J467" s="244"/>
      <c r="K467" s="244"/>
      <c r="U467" s="40"/>
      <c r="V467" s="40"/>
      <c r="W467" s="40"/>
      <c r="X467" s="40"/>
      <c r="Y467" s="40"/>
      <c r="Z467" s="40"/>
      <c r="AA467" s="40"/>
      <c r="AB467" s="40"/>
    </row>
    <row r="468">
      <c r="G468" s="9"/>
      <c r="I468" s="244"/>
      <c r="J468" s="244"/>
      <c r="K468" s="244"/>
      <c r="U468" s="40"/>
      <c r="V468" s="40"/>
      <c r="W468" s="40"/>
      <c r="X468" s="40"/>
      <c r="Y468" s="40"/>
      <c r="Z468" s="40"/>
      <c r="AA468" s="40"/>
      <c r="AB468" s="40"/>
    </row>
    <row r="469">
      <c r="G469" s="9"/>
      <c r="I469" s="244"/>
      <c r="J469" s="244"/>
      <c r="K469" s="244"/>
      <c r="U469" s="40"/>
      <c r="V469" s="40"/>
      <c r="W469" s="40"/>
      <c r="X469" s="40"/>
      <c r="Y469" s="40"/>
      <c r="Z469" s="40"/>
      <c r="AA469" s="40"/>
      <c r="AB469" s="40"/>
    </row>
    <row r="470">
      <c r="G470" s="9"/>
      <c r="I470" s="244"/>
      <c r="J470" s="244"/>
      <c r="K470" s="244"/>
      <c r="U470" s="40"/>
      <c r="V470" s="40"/>
      <c r="W470" s="40"/>
      <c r="X470" s="40"/>
      <c r="Y470" s="40"/>
      <c r="Z470" s="40"/>
      <c r="AA470" s="40"/>
      <c r="AB470" s="40"/>
    </row>
    <row r="471">
      <c r="G471" s="9"/>
      <c r="I471" s="244"/>
      <c r="J471" s="244"/>
      <c r="K471" s="244"/>
      <c r="U471" s="40"/>
      <c r="V471" s="40"/>
      <c r="W471" s="40"/>
      <c r="X471" s="40"/>
      <c r="Y471" s="40"/>
      <c r="Z471" s="40"/>
      <c r="AA471" s="40"/>
      <c r="AB471" s="40"/>
    </row>
    <row r="472">
      <c r="G472" s="9"/>
      <c r="I472" s="244"/>
      <c r="J472" s="244"/>
      <c r="K472" s="244"/>
      <c r="U472" s="40"/>
      <c r="V472" s="40"/>
      <c r="W472" s="40"/>
      <c r="X472" s="40"/>
      <c r="Y472" s="40"/>
      <c r="Z472" s="40"/>
      <c r="AA472" s="40"/>
      <c r="AB472" s="40"/>
    </row>
    <row r="473">
      <c r="G473" s="9"/>
      <c r="I473" s="244"/>
      <c r="J473" s="244"/>
      <c r="K473" s="244"/>
      <c r="U473" s="40"/>
      <c r="V473" s="40"/>
      <c r="W473" s="40"/>
      <c r="X473" s="40"/>
      <c r="Y473" s="40"/>
      <c r="Z473" s="40"/>
      <c r="AA473" s="40"/>
      <c r="AB473" s="40"/>
    </row>
    <row r="474">
      <c r="G474" s="9"/>
      <c r="I474" s="244"/>
      <c r="J474" s="244"/>
      <c r="K474" s="244"/>
      <c r="U474" s="40"/>
      <c r="V474" s="40"/>
      <c r="W474" s="40"/>
      <c r="X474" s="40"/>
      <c r="Y474" s="40"/>
      <c r="Z474" s="40"/>
      <c r="AA474" s="40"/>
      <c r="AB474" s="40"/>
    </row>
    <row r="475">
      <c r="G475" s="9"/>
      <c r="I475" s="244"/>
      <c r="J475" s="244"/>
      <c r="K475" s="244"/>
      <c r="U475" s="40"/>
      <c r="V475" s="40"/>
      <c r="W475" s="40"/>
      <c r="X475" s="40"/>
      <c r="Y475" s="40"/>
      <c r="Z475" s="40"/>
      <c r="AA475" s="40"/>
      <c r="AB475" s="40"/>
    </row>
    <row r="476">
      <c r="G476" s="9"/>
      <c r="I476" s="244"/>
      <c r="J476" s="244"/>
      <c r="K476" s="244"/>
      <c r="U476" s="40"/>
      <c r="V476" s="40"/>
      <c r="W476" s="40"/>
      <c r="X476" s="40"/>
      <c r="Y476" s="40"/>
      <c r="Z476" s="40"/>
      <c r="AA476" s="40"/>
      <c r="AB476" s="40"/>
    </row>
    <row r="477">
      <c r="G477" s="9"/>
      <c r="I477" s="244"/>
      <c r="J477" s="244"/>
      <c r="K477" s="244"/>
      <c r="U477" s="40"/>
      <c r="V477" s="40"/>
      <c r="W477" s="40"/>
      <c r="X477" s="40"/>
      <c r="Y477" s="40"/>
      <c r="Z477" s="40"/>
      <c r="AA477" s="40"/>
      <c r="AB477" s="40"/>
    </row>
    <row r="478">
      <c r="G478" s="9"/>
      <c r="I478" s="244"/>
      <c r="J478" s="244"/>
      <c r="K478" s="244"/>
      <c r="U478" s="40"/>
      <c r="V478" s="40"/>
      <c r="W478" s="40"/>
      <c r="X478" s="40"/>
      <c r="Y478" s="40"/>
      <c r="Z478" s="40"/>
      <c r="AA478" s="40"/>
      <c r="AB478" s="40"/>
    </row>
    <row r="479">
      <c r="G479" s="9"/>
      <c r="I479" s="244"/>
      <c r="J479" s="244"/>
      <c r="K479" s="244"/>
      <c r="U479" s="40"/>
      <c r="V479" s="40"/>
      <c r="W479" s="40"/>
      <c r="X479" s="40"/>
      <c r="Y479" s="40"/>
      <c r="Z479" s="40"/>
      <c r="AA479" s="40"/>
      <c r="AB479" s="40"/>
    </row>
    <row r="480">
      <c r="G480" s="9"/>
      <c r="I480" s="244"/>
      <c r="J480" s="244"/>
      <c r="K480" s="244"/>
      <c r="U480" s="40"/>
      <c r="V480" s="40"/>
      <c r="W480" s="40"/>
      <c r="X480" s="40"/>
      <c r="Y480" s="40"/>
      <c r="Z480" s="40"/>
      <c r="AA480" s="40"/>
      <c r="AB480" s="40"/>
    </row>
    <row r="481">
      <c r="G481" s="9"/>
      <c r="I481" s="244"/>
      <c r="J481" s="244"/>
      <c r="K481" s="244"/>
      <c r="U481" s="40"/>
      <c r="V481" s="40"/>
      <c r="W481" s="40"/>
      <c r="X481" s="40"/>
      <c r="Y481" s="40"/>
      <c r="Z481" s="40"/>
      <c r="AA481" s="40"/>
      <c r="AB481" s="40"/>
    </row>
    <row r="482">
      <c r="G482" s="9"/>
      <c r="I482" s="244"/>
      <c r="J482" s="244"/>
      <c r="K482" s="244"/>
      <c r="U482" s="40"/>
      <c r="V482" s="40"/>
      <c r="W482" s="40"/>
      <c r="X482" s="40"/>
      <c r="Y482" s="40"/>
      <c r="Z482" s="40"/>
      <c r="AA482" s="40"/>
      <c r="AB482" s="40"/>
    </row>
    <row r="483">
      <c r="G483" s="9"/>
      <c r="I483" s="244"/>
      <c r="J483" s="244"/>
      <c r="K483" s="244"/>
      <c r="U483" s="40"/>
      <c r="V483" s="40"/>
      <c r="W483" s="40"/>
      <c r="X483" s="40"/>
      <c r="Y483" s="40"/>
      <c r="Z483" s="40"/>
      <c r="AA483" s="40"/>
      <c r="AB483" s="40"/>
    </row>
    <row r="484">
      <c r="G484" s="9"/>
      <c r="I484" s="244"/>
      <c r="J484" s="244"/>
      <c r="K484" s="244"/>
      <c r="U484" s="40"/>
      <c r="V484" s="40"/>
      <c r="W484" s="40"/>
      <c r="X484" s="40"/>
      <c r="Y484" s="40"/>
      <c r="Z484" s="40"/>
      <c r="AA484" s="40"/>
      <c r="AB484" s="40"/>
    </row>
    <row r="485">
      <c r="G485" s="9"/>
      <c r="I485" s="244"/>
      <c r="J485" s="244"/>
      <c r="K485" s="244"/>
      <c r="U485" s="40"/>
      <c r="V485" s="40"/>
      <c r="W485" s="40"/>
      <c r="X485" s="40"/>
      <c r="Y485" s="40"/>
      <c r="Z485" s="40"/>
      <c r="AA485" s="40"/>
      <c r="AB485" s="40"/>
    </row>
    <row r="486">
      <c r="G486" s="9"/>
      <c r="I486" s="244"/>
      <c r="J486" s="244"/>
      <c r="K486" s="244"/>
      <c r="U486" s="40"/>
      <c r="V486" s="40"/>
      <c r="W486" s="40"/>
      <c r="X486" s="40"/>
      <c r="Y486" s="40"/>
      <c r="Z486" s="40"/>
      <c r="AA486" s="40"/>
      <c r="AB486" s="40"/>
    </row>
    <row r="487">
      <c r="G487" s="9"/>
      <c r="I487" s="244"/>
      <c r="J487" s="244"/>
      <c r="K487" s="244"/>
      <c r="U487" s="40"/>
      <c r="V487" s="40"/>
      <c r="W487" s="40"/>
      <c r="X487" s="40"/>
      <c r="Y487" s="40"/>
      <c r="Z487" s="40"/>
      <c r="AA487" s="40"/>
      <c r="AB487" s="40"/>
    </row>
    <row r="488">
      <c r="G488" s="9"/>
      <c r="I488" s="244"/>
      <c r="J488" s="244"/>
      <c r="K488" s="244"/>
      <c r="U488" s="40"/>
      <c r="V488" s="40"/>
      <c r="W488" s="40"/>
      <c r="X488" s="40"/>
      <c r="Y488" s="40"/>
      <c r="Z488" s="40"/>
      <c r="AA488" s="40"/>
      <c r="AB488" s="40"/>
    </row>
    <row r="489">
      <c r="G489" s="9"/>
      <c r="I489" s="244"/>
      <c r="J489" s="244"/>
      <c r="K489" s="244"/>
      <c r="U489" s="40"/>
      <c r="V489" s="40"/>
      <c r="W489" s="40"/>
      <c r="X489" s="40"/>
      <c r="Y489" s="40"/>
      <c r="Z489" s="40"/>
      <c r="AA489" s="40"/>
      <c r="AB489" s="40"/>
    </row>
    <row r="490">
      <c r="G490" s="9"/>
      <c r="I490" s="244"/>
      <c r="J490" s="244"/>
      <c r="K490" s="244"/>
      <c r="U490" s="40"/>
      <c r="V490" s="40"/>
      <c r="W490" s="40"/>
      <c r="X490" s="40"/>
      <c r="Y490" s="40"/>
      <c r="Z490" s="40"/>
      <c r="AA490" s="40"/>
      <c r="AB490" s="40"/>
    </row>
    <row r="491">
      <c r="G491" s="9"/>
      <c r="I491" s="244"/>
      <c r="J491" s="244"/>
      <c r="K491" s="244"/>
      <c r="U491" s="40"/>
      <c r="V491" s="40"/>
      <c r="W491" s="40"/>
      <c r="X491" s="40"/>
      <c r="Y491" s="40"/>
      <c r="Z491" s="40"/>
      <c r="AA491" s="40"/>
      <c r="AB491" s="40"/>
    </row>
    <row r="492">
      <c r="G492" s="9"/>
      <c r="I492" s="244"/>
      <c r="J492" s="244"/>
      <c r="K492" s="244"/>
      <c r="U492" s="40"/>
      <c r="V492" s="40"/>
      <c r="W492" s="40"/>
      <c r="X492" s="40"/>
      <c r="Y492" s="40"/>
      <c r="Z492" s="40"/>
      <c r="AA492" s="40"/>
      <c r="AB492" s="40"/>
    </row>
    <row r="493">
      <c r="G493" s="9"/>
      <c r="I493" s="244"/>
      <c r="J493" s="244"/>
      <c r="K493" s="244"/>
      <c r="U493" s="40"/>
      <c r="V493" s="40"/>
      <c r="W493" s="40"/>
      <c r="X493" s="40"/>
      <c r="Y493" s="40"/>
      <c r="Z493" s="40"/>
      <c r="AA493" s="40"/>
      <c r="AB493" s="40"/>
    </row>
    <row r="494">
      <c r="G494" s="9"/>
      <c r="I494" s="244"/>
      <c r="J494" s="244"/>
      <c r="K494" s="244"/>
      <c r="U494" s="40"/>
      <c r="V494" s="40"/>
      <c r="W494" s="40"/>
      <c r="X494" s="40"/>
      <c r="Y494" s="40"/>
      <c r="Z494" s="40"/>
      <c r="AA494" s="40"/>
      <c r="AB494" s="40"/>
    </row>
    <row r="495">
      <c r="G495" s="9"/>
      <c r="I495" s="244"/>
      <c r="J495" s="244"/>
      <c r="K495" s="244"/>
      <c r="U495" s="40"/>
      <c r="V495" s="40"/>
      <c r="W495" s="40"/>
      <c r="X495" s="40"/>
      <c r="Y495" s="40"/>
      <c r="Z495" s="40"/>
      <c r="AA495" s="40"/>
      <c r="AB495" s="40"/>
    </row>
    <row r="496">
      <c r="G496" s="9"/>
      <c r="I496" s="244"/>
      <c r="J496" s="244"/>
      <c r="K496" s="244"/>
      <c r="U496" s="40"/>
      <c r="V496" s="40"/>
      <c r="W496" s="40"/>
      <c r="X496" s="40"/>
      <c r="Y496" s="40"/>
      <c r="Z496" s="40"/>
      <c r="AA496" s="40"/>
      <c r="AB496" s="40"/>
    </row>
    <row r="497">
      <c r="G497" s="9"/>
      <c r="I497" s="244"/>
      <c r="J497" s="244"/>
      <c r="K497" s="244"/>
      <c r="U497" s="40"/>
      <c r="V497" s="40"/>
      <c r="W497" s="40"/>
      <c r="X497" s="40"/>
      <c r="Y497" s="40"/>
      <c r="Z497" s="40"/>
      <c r="AA497" s="40"/>
      <c r="AB497" s="40"/>
    </row>
    <row r="498">
      <c r="G498" s="9"/>
      <c r="I498" s="244"/>
      <c r="J498" s="244"/>
      <c r="K498" s="244"/>
      <c r="U498" s="40"/>
      <c r="V498" s="40"/>
      <c r="W498" s="40"/>
      <c r="X498" s="40"/>
      <c r="Y498" s="40"/>
      <c r="Z498" s="40"/>
      <c r="AA498" s="40"/>
      <c r="AB498" s="40"/>
    </row>
    <row r="499">
      <c r="G499" s="9"/>
      <c r="I499" s="244"/>
      <c r="J499" s="244"/>
      <c r="K499" s="244"/>
      <c r="U499" s="40"/>
      <c r="V499" s="40"/>
      <c r="W499" s="40"/>
      <c r="X499" s="40"/>
      <c r="Y499" s="40"/>
      <c r="Z499" s="40"/>
      <c r="AA499" s="40"/>
      <c r="AB499" s="40"/>
    </row>
    <row r="500">
      <c r="G500" s="9"/>
      <c r="I500" s="244"/>
      <c r="J500" s="244"/>
      <c r="K500" s="244"/>
      <c r="U500" s="40"/>
      <c r="V500" s="40"/>
      <c r="W500" s="40"/>
      <c r="X500" s="40"/>
      <c r="Y500" s="40"/>
      <c r="Z500" s="40"/>
      <c r="AA500" s="40"/>
      <c r="AB500" s="40"/>
    </row>
    <row r="501">
      <c r="G501" s="9"/>
      <c r="I501" s="244"/>
      <c r="J501" s="244"/>
      <c r="K501" s="244"/>
      <c r="U501" s="40"/>
      <c r="V501" s="40"/>
      <c r="W501" s="40"/>
      <c r="X501" s="40"/>
      <c r="Y501" s="40"/>
      <c r="Z501" s="40"/>
      <c r="AA501" s="40"/>
      <c r="AB501" s="40"/>
    </row>
    <row r="502">
      <c r="G502" s="9"/>
      <c r="I502" s="244"/>
      <c r="J502" s="244"/>
      <c r="K502" s="244"/>
      <c r="U502" s="40"/>
      <c r="V502" s="40"/>
      <c r="W502" s="40"/>
      <c r="X502" s="40"/>
      <c r="Y502" s="40"/>
      <c r="Z502" s="40"/>
      <c r="AA502" s="40"/>
      <c r="AB502" s="40"/>
    </row>
    <row r="503">
      <c r="G503" s="9"/>
      <c r="I503" s="244"/>
      <c r="J503" s="244"/>
      <c r="K503" s="244"/>
      <c r="U503" s="40"/>
      <c r="V503" s="40"/>
      <c r="W503" s="40"/>
      <c r="X503" s="40"/>
      <c r="Y503" s="40"/>
      <c r="Z503" s="40"/>
      <c r="AA503" s="40"/>
      <c r="AB503" s="40"/>
    </row>
    <row r="504">
      <c r="G504" s="9"/>
      <c r="I504" s="244"/>
      <c r="J504" s="244"/>
      <c r="K504" s="244"/>
      <c r="U504" s="40"/>
      <c r="V504" s="40"/>
      <c r="W504" s="40"/>
      <c r="X504" s="40"/>
      <c r="Y504" s="40"/>
      <c r="Z504" s="40"/>
      <c r="AA504" s="40"/>
      <c r="AB504" s="40"/>
    </row>
    <row r="505">
      <c r="G505" s="9"/>
      <c r="I505" s="244"/>
      <c r="J505" s="244"/>
      <c r="K505" s="244"/>
      <c r="U505" s="40"/>
      <c r="V505" s="40"/>
      <c r="W505" s="40"/>
      <c r="X505" s="40"/>
      <c r="Y505" s="40"/>
      <c r="Z505" s="40"/>
      <c r="AA505" s="40"/>
      <c r="AB505" s="40"/>
    </row>
    <row r="506">
      <c r="G506" s="9"/>
      <c r="I506" s="244"/>
      <c r="J506" s="244"/>
      <c r="K506" s="244"/>
      <c r="U506" s="40"/>
      <c r="V506" s="40"/>
      <c r="W506" s="40"/>
      <c r="X506" s="40"/>
      <c r="Y506" s="40"/>
      <c r="Z506" s="40"/>
      <c r="AA506" s="40"/>
      <c r="AB506" s="40"/>
    </row>
    <row r="507">
      <c r="G507" s="9"/>
      <c r="I507" s="244"/>
      <c r="J507" s="244"/>
      <c r="K507" s="244"/>
      <c r="U507" s="40"/>
      <c r="V507" s="40"/>
      <c r="W507" s="40"/>
      <c r="X507" s="40"/>
      <c r="Y507" s="40"/>
      <c r="Z507" s="40"/>
      <c r="AA507" s="40"/>
      <c r="AB507" s="40"/>
    </row>
    <row r="508">
      <c r="G508" s="9"/>
      <c r="I508" s="244"/>
      <c r="J508" s="244"/>
      <c r="K508" s="244"/>
      <c r="U508" s="40"/>
      <c r="V508" s="40"/>
      <c r="W508" s="40"/>
      <c r="X508" s="40"/>
      <c r="Y508" s="40"/>
      <c r="Z508" s="40"/>
      <c r="AA508" s="40"/>
      <c r="AB508" s="40"/>
    </row>
    <row r="509">
      <c r="G509" s="9"/>
      <c r="I509" s="244"/>
      <c r="J509" s="244"/>
      <c r="K509" s="244"/>
      <c r="U509" s="40"/>
      <c r="V509" s="40"/>
      <c r="W509" s="40"/>
      <c r="X509" s="40"/>
      <c r="Y509" s="40"/>
      <c r="Z509" s="40"/>
      <c r="AA509" s="40"/>
      <c r="AB509" s="40"/>
    </row>
    <row r="510">
      <c r="G510" s="9"/>
      <c r="I510" s="244"/>
      <c r="J510" s="244"/>
      <c r="K510" s="244"/>
      <c r="U510" s="40"/>
      <c r="V510" s="40"/>
      <c r="W510" s="40"/>
      <c r="X510" s="40"/>
      <c r="Y510" s="40"/>
      <c r="Z510" s="40"/>
      <c r="AA510" s="40"/>
      <c r="AB510" s="40"/>
    </row>
    <row r="511">
      <c r="G511" s="9"/>
      <c r="I511" s="244"/>
      <c r="J511" s="244"/>
      <c r="K511" s="244"/>
      <c r="U511" s="40"/>
      <c r="V511" s="40"/>
      <c r="W511" s="40"/>
      <c r="X511" s="40"/>
      <c r="Y511" s="40"/>
      <c r="Z511" s="40"/>
      <c r="AA511" s="40"/>
      <c r="AB511" s="40"/>
    </row>
    <row r="512">
      <c r="G512" s="9"/>
      <c r="I512" s="244"/>
      <c r="J512" s="244"/>
      <c r="K512" s="244"/>
      <c r="U512" s="40"/>
      <c r="V512" s="40"/>
      <c r="W512" s="40"/>
      <c r="X512" s="40"/>
      <c r="Y512" s="40"/>
      <c r="Z512" s="40"/>
      <c r="AA512" s="40"/>
      <c r="AB512" s="40"/>
    </row>
    <row r="513">
      <c r="G513" s="9"/>
      <c r="I513" s="244"/>
      <c r="J513" s="244"/>
      <c r="K513" s="244"/>
      <c r="U513" s="40"/>
      <c r="V513" s="40"/>
      <c r="W513" s="40"/>
      <c r="X513" s="40"/>
      <c r="Y513" s="40"/>
      <c r="Z513" s="40"/>
      <c r="AA513" s="40"/>
      <c r="AB513" s="40"/>
    </row>
    <row r="514">
      <c r="G514" s="9"/>
      <c r="I514" s="244"/>
      <c r="J514" s="244"/>
      <c r="K514" s="244"/>
      <c r="U514" s="40"/>
      <c r="V514" s="40"/>
      <c r="W514" s="40"/>
      <c r="X514" s="40"/>
      <c r="Y514" s="40"/>
      <c r="Z514" s="40"/>
      <c r="AA514" s="40"/>
      <c r="AB514" s="40"/>
    </row>
    <row r="515">
      <c r="G515" s="9"/>
      <c r="I515" s="244"/>
      <c r="J515" s="244"/>
      <c r="K515" s="244"/>
      <c r="U515" s="40"/>
      <c r="V515" s="40"/>
      <c r="W515" s="40"/>
      <c r="X515" s="40"/>
      <c r="Y515" s="40"/>
      <c r="Z515" s="40"/>
      <c r="AA515" s="40"/>
      <c r="AB515" s="40"/>
    </row>
    <row r="516">
      <c r="G516" s="9"/>
      <c r="I516" s="244"/>
      <c r="J516" s="244"/>
      <c r="K516" s="244"/>
      <c r="U516" s="40"/>
      <c r="V516" s="40"/>
      <c r="W516" s="40"/>
      <c r="X516" s="40"/>
      <c r="Y516" s="40"/>
      <c r="Z516" s="40"/>
      <c r="AA516" s="40"/>
      <c r="AB516" s="40"/>
    </row>
    <row r="517">
      <c r="G517" s="9"/>
      <c r="I517" s="244"/>
      <c r="J517" s="244"/>
      <c r="K517" s="244"/>
      <c r="U517" s="40"/>
      <c r="V517" s="40"/>
      <c r="W517" s="40"/>
      <c r="X517" s="40"/>
      <c r="Y517" s="40"/>
      <c r="Z517" s="40"/>
      <c r="AA517" s="40"/>
      <c r="AB517" s="40"/>
    </row>
    <row r="518">
      <c r="G518" s="9"/>
      <c r="I518" s="244"/>
      <c r="J518" s="244"/>
      <c r="K518" s="244"/>
      <c r="U518" s="40"/>
      <c r="V518" s="40"/>
      <c r="W518" s="40"/>
      <c r="X518" s="40"/>
      <c r="Y518" s="40"/>
      <c r="Z518" s="40"/>
      <c r="AA518" s="40"/>
      <c r="AB518" s="40"/>
    </row>
    <row r="519">
      <c r="G519" s="9"/>
      <c r="I519" s="244"/>
      <c r="J519" s="244"/>
      <c r="K519" s="244"/>
      <c r="U519" s="40"/>
      <c r="V519" s="40"/>
      <c r="W519" s="40"/>
      <c r="X519" s="40"/>
      <c r="Y519" s="40"/>
      <c r="Z519" s="40"/>
      <c r="AA519" s="40"/>
      <c r="AB519" s="40"/>
    </row>
    <row r="520">
      <c r="G520" s="9"/>
      <c r="I520" s="244"/>
      <c r="J520" s="244"/>
      <c r="K520" s="244"/>
      <c r="U520" s="40"/>
      <c r="V520" s="40"/>
      <c r="W520" s="40"/>
      <c r="X520" s="40"/>
      <c r="Y520" s="40"/>
      <c r="Z520" s="40"/>
      <c r="AA520" s="40"/>
      <c r="AB520" s="40"/>
    </row>
    <row r="521">
      <c r="G521" s="9"/>
      <c r="I521" s="244"/>
      <c r="J521" s="244"/>
      <c r="K521" s="244"/>
      <c r="U521" s="40"/>
      <c r="V521" s="40"/>
      <c r="W521" s="40"/>
      <c r="X521" s="40"/>
      <c r="Y521" s="40"/>
      <c r="Z521" s="40"/>
      <c r="AA521" s="40"/>
      <c r="AB521" s="40"/>
    </row>
    <row r="522">
      <c r="G522" s="9"/>
      <c r="I522" s="244"/>
      <c r="J522" s="244"/>
      <c r="K522" s="244"/>
      <c r="U522" s="40"/>
      <c r="V522" s="40"/>
      <c r="W522" s="40"/>
      <c r="X522" s="40"/>
      <c r="Y522" s="40"/>
      <c r="Z522" s="40"/>
      <c r="AA522" s="40"/>
      <c r="AB522" s="40"/>
    </row>
    <row r="523">
      <c r="G523" s="9"/>
      <c r="I523" s="244"/>
      <c r="J523" s="244"/>
      <c r="K523" s="244"/>
      <c r="U523" s="40"/>
      <c r="V523" s="40"/>
      <c r="W523" s="40"/>
      <c r="X523" s="40"/>
      <c r="Y523" s="40"/>
      <c r="Z523" s="40"/>
      <c r="AA523" s="40"/>
      <c r="AB523" s="40"/>
    </row>
    <row r="524">
      <c r="G524" s="9"/>
      <c r="I524" s="244"/>
      <c r="J524" s="244"/>
      <c r="K524" s="244"/>
      <c r="U524" s="40"/>
      <c r="V524" s="40"/>
      <c r="W524" s="40"/>
      <c r="X524" s="40"/>
      <c r="Y524" s="40"/>
      <c r="Z524" s="40"/>
      <c r="AA524" s="40"/>
      <c r="AB524" s="40"/>
    </row>
    <row r="525">
      <c r="G525" s="9"/>
      <c r="I525" s="244"/>
      <c r="J525" s="244"/>
      <c r="K525" s="244"/>
      <c r="U525" s="40"/>
      <c r="V525" s="40"/>
      <c r="W525" s="40"/>
      <c r="X525" s="40"/>
      <c r="Y525" s="40"/>
      <c r="Z525" s="40"/>
      <c r="AA525" s="40"/>
      <c r="AB525" s="40"/>
    </row>
    <row r="526">
      <c r="G526" s="9"/>
      <c r="I526" s="244"/>
      <c r="J526" s="244"/>
      <c r="K526" s="244"/>
      <c r="U526" s="40"/>
      <c r="V526" s="40"/>
      <c r="W526" s="40"/>
      <c r="X526" s="40"/>
      <c r="Y526" s="40"/>
      <c r="Z526" s="40"/>
      <c r="AA526" s="40"/>
      <c r="AB526" s="40"/>
    </row>
    <row r="527">
      <c r="G527" s="9"/>
      <c r="I527" s="244"/>
      <c r="J527" s="244"/>
      <c r="K527" s="244"/>
      <c r="U527" s="40"/>
      <c r="V527" s="40"/>
      <c r="W527" s="40"/>
      <c r="X527" s="40"/>
      <c r="Y527" s="40"/>
      <c r="Z527" s="40"/>
      <c r="AA527" s="40"/>
      <c r="AB527" s="40"/>
    </row>
    <row r="528">
      <c r="G528" s="9"/>
      <c r="I528" s="244"/>
      <c r="J528" s="244"/>
      <c r="K528" s="244"/>
      <c r="U528" s="40"/>
      <c r="V528" s="40"/>
      <c r="W528" s="40"/>
      <c r="X528" s="40"/>
      <c r="Y528" s="40"/>
      <c r="Z528" s="40"/>
      <c r="AA528" s="40"/>
      <c r="AB528" s="40"/>
    </row>
    <row r="529">
      <c r="G529" s="9"/>
      <c r="I529" s="244"/>
      <c r="J529" s="244"/>
      <c r="K529" s="244"/>
      <c r="U529" s="40"/>
      <c r="V529" s="40"/>
      <c r="W529" s="40"/>
      <c r="X529" s="40"/>
      <c r="Y529" s="40"/>
      <c r="Z529" s="40"/>
      <c r="AA529" s="40"/>
      <c r="AB529" s="40"/>
    </row>
    <row r="530">
      <c r="G530" s="9"/>
      <c r="I530" s="244"/>
      <c r="J530" s="244"/>
      <c r="K530" s="244"/>
      <c r="U530" s="40"/>
      <c r="V530" s="40"/>
      <c r="W530" s="40"/>
      <c r="X530" s="40"/>
      <c r="Y530" s="40"/>
      <c r="Z530" s="40"/>
      <c r="AA530" s="40"/>
      <c r="AB530" s="40"/>
    </row>
    <row r="531">
      <c r="G531" s="9"/>
      <c r="I531" s="244"/>
      <c r="J531" s="244"/>
      <c r="K531" s="244"/>
      <c r="U531" s="40"/>
      <c r="V531" s="40"/>
      <c r="W531" s="40"/>
      <c r="X531" s="40"/>
      <c r="Y531" s="40"/>
      <c r="Z531" s="40"/>
      <c r="AA531" s="40"/>
      <c r="AB531" s="40"/>
    </row>
    <row r="532">
      <c r="G532" s="9"/>
      <c r="I532" s="244"/>
      <c r="J532" s="244"/>
      <c r="K532" s="244"/>
      <c r="U532" s="40"/>
      <c r="V532" s="40"/>
      <c r="W532" s="40"/>
      <c r="X532" s="40"/>
      <c r="Y532" s="40"/>
      <c r="Z532" s="40"/>
      <c r="AA532" s="40"/>
      <c r="AB532" s="40"/>
    </row>
    <row r="533">
      <c r="G533" s="9"/>
      <c r="I533" s="244"/>
      <c r="J533" s="244"/>
      <c r="K533" s="244"/>
      <c r="U533" s="40"/>
      <c r="V533" s="40"/>
      <c r="W533" s="40"/>
      <c r="X533" s="40"/>
      <c r="Y533" s="40"/>
      <c r="Z533" s="40"/>
      <c r="AA533" s="40"/>
      <c r="AB533" s="40"/>
    </row>
    <row r="534">
      <c r="G534" s="9"/>
      <c r="I534" s="244"/>
      <c r="J534" s="244"/>
      <c r="K534" s="244"/>
      <c r="U534" s="40"/>
      <c r="V534" s="40"/>
      <c r="W534" s="40"/>
      <c r="X534" s="40"/>
      <c r="Y534" s="40"/>
      <c r="Z534" s="40"/>
      <c r="AA534" s="40"/>
      <c r="AB534" s="40"/>
    </row>
    <row r="535">
      <c r="G535" s="9"/>
      <c r="I535" s="244"/>
      <c r="J535" s="244"/>
      <c r="K535" s="244"/>
      <c r="U535" s="40"/>
      <c r="V535" s="40"/>
      <c r="W535" s="40"/>
      <c r="X535" s="40"/>
      <c r="Y535" s="40"/>
      <c r="Z535" s="40"/>
      <c r="AA535" s="40"/>
      <c r="AB535" s="40"/>
    </row>
    <row r="536">
      <c r="G536" s="9"/>
      <c r="I536" s="244"/>
      <c r="J536" s="244"/>
      <c r="K536" s="244"/>
      <c r="U536" s="40"/>
      <c r="V536" s="40"/>
      <c r="W536" s="40"/>
      <c r="X536" s="40"/>
      <c r="Y536" s="40"/>
      <c r="Z536" s="40"/>
      <c r="AA536" s="40"/>
      <c r="AB536" s="40"/>
    </row>
    <row r="537">
      <c r="G537" s="9"/>
      <c r="I537" s="244"/>
      <c r="J537" s="244"/>
      <c r="K537" s="244"/>
      <c r="U537" s="40"/>
      <c r="V537" s="40"/>
      <c r="W537" s="40"/>
      <c r="X537" s="40"/>
      <c r="Y537" s="40"/>
      <c r="Z537" s="40"/>
      <c r="AA537" s="40"/>
      <c r="AB537" s="40"/>
    </row>
    <row r="538">
      <c r="G538" s="9"/>
      <c r="I538" s="244"/>
      <c r="J538" s="244"/>
      <c r="K538" s="244"/>
      <c r="U538" s="40"/>
      <c r="V538" s="40"/>
      <c r="W538" s="40"/>
      <c r="X538" s="40"/>
      <c r="Y538" s="40"/>
      <c r="Z538" s="40"/>
      <c r="AA538" s="40"/>
      <c r="AB538" s="40"/>
    </row>
    <row r="539">
      <c r="G539" s="9"/>
      <c r="I539" s="244"/>
      <c r="J539" s="244"/>
      <c r="K539" s="244"/>
      <c r="U539" s="40"/>
      <c r="V539" s="40"/>
      <c r="W539" s="40"/>
      <c r="X539" s="40"/>
      <c r="Y539" s="40"/>
      <c r="Z539" s="40"/>
      <c r="AA539" s="40"/>
      <c r="AB539" s="40"/>
    </row>
    <row r="540">
      <c r="G540" s="9"/>
      <c r="I540" s="244"/>
      <c r="J540" s="244"/>
      <c r="K540" s="244"/>
      <c r="U540" s="40"/>
      <c r="V540" s="40"/>
      <c r="W540" s="40"/>
      <c r="X540" s="40"/>
      <c r="Y540" s="40"/>
      <c r="Z540" s="40"/>
      <c r="AA540" s="40"/>
      <c r="AB540" s="40"/>
    </row>
    <row r="541">
      <c r="G541" s="9"/>
      <c r="I541" s="244"/>
      <c r="J541" s="244"/>
      <c r="K541" s="244"/>
      <c r="U541" s="40"/>
      <c r="V541" s="40"/>
      <c r="W541" s="40"/>
      <c r="X541" s="40"/>
      <c r="Y541" s="40"/>
      <c r="Z541" s="40"/>
      <c r="AA541" s="40"/>
      <c r="AB541" s="40"/>
    </row>
    <row r="542">
      <c r="G542" s="9"/>
      <c r="I542" s="244"/>
      <c r="J542" s="244"/>
      <c r="K542" s="244"/>
      <c r="U542" s="40"/>
      <c r="V542" s="40"/>
      <c r="W542" s="40"/>
      <c r="X542" s="40"/>
      <c r="Y542" s="40"/>
      <c r="Z542" s="40"/>
      <c r="AA542" s="40"/>
      <c r="AB542" s="40"/>
    </row>
    <row r="543">
      <c r="G543" s="9"/>
      <c r="I543" s="244"/>
      <c r="J543" s="244"/>
      <c r="K543" s="244"/>
      <c r="U543" s="40"/>
      <c r="V543" s="40"/>
      <c r="W543" s="40"/>
      <c r="X543" s="40"/>
      <c r="Y543" s="40"/>
      <c r="Z543" s="40"/>
      <c r="AA543" s="40"/>
      <c r="AB543" s="40"/>
    </row>
    <row r="544">
      <c r="G544" s="9"/>
      <c r="I544" s="244"/>
      <c r="J544" s="244"/>
      <c r="K544" s="244"/>
      <c r="U544" s="40"/>
      <c r="V544" s="40"/>
      <c r="W544" s="40"/>
      <c r="X544" s="40"/>
      <c r="Y544" s="40"/>
      <c r="Z544" s="40"/>
      <c r="AA544" s="40"/>
      <c r="AB544" s="40"/>
    </row>
    <row r="545">
      <c r="G545" s="9"/>
      <c r="I545" s="244"/>
      <c r="J545" s="244"/>
      <c r="K545" s="244"/>
      <c r="U545" s="40"/>
      <c r="V545" s="40"/>
      <c r="W545" s="40"/>
      <c r="X545" s="40"/>
      <c r="Y545" s="40"/>
      <c r="Z545" s="40"/>
      <c r="AA545" s="40"/>
      <c r="AB545" s="40"/>
    </row>
    <row r="546">
      <c r="G546" s="9"/>
      <c r="I546" s="244"/>
      <c r="J546" s="244"/>
      <c r="K546" s="244"/>
      <c r="U546" s="40"/>
      <c r="V546" s="40"/>
      <c r="W546" s="40"/>
      <c r="X546" s="40"/>
      <c r="Y546" s="40"/>
      <c r="Z546" s="40"/>
      <c r="AA546" s="40"/>
      <c r="AB546" s="40"/>
    </row>
    <row r="547">
      <c r="G547" s="9"/>
      <c r="I547" s="244"/>
      <c r="J547" s="244"/>
      <c r="K547" s="244"/>
      <c r="U547" s="40"/>
      <c r="V547" s="40"/>
      <c r="W547" s="40"/>
      <c r="X547" s="40"/>
      <c r="Y547" s="40"/>
      <c r="Z547" s="40"/>
      <c r="AA547" s="40"/>
      <c r="AB547" s="40"/>
    </row>
    <row r="548">
      <c r="G548" s="9"/>
      <c r="I548" s="244"/>
      <c r="J548" s="244"/>
      <c r="K548" s="244"/>
      <c r="U548" s="40"/>
      <c r="V548" s="40"/>
      <c r="W548" s="40"/>
      <c r="X548" s="40"/>
      <c r="Y548" s="40"/>
      <c r="Z548" s="40"/>
      <c r="AA548" s="40"/>
      <c r="AB548" s="40"/>
    </row>
    <row r="549">
      <c r="G549" s="9"/>
      <c r="I549" s="244"/>
      <c r="J549" s="244"/>
      <c r="K549" s="244"/>
      <c r="U549" s="40"/>
      <c r="V549" s="40"/>
      <c r="W549" s="40"/>
      <c r="X549" s="40"/>
      <c r="Y549" s="40"/>
      <c r="Z549" s="40"/>
      <c r="AA549" s="40"/>
      <c r="AB549" s="40"/>
    </row>
    <row r="550">
      <c r="G550" s="9"/>
      <c r="I550" s="244"/>
      <c r="J550" s="244"/>
      <c r="K550" s="244"/>
      <c r="U550" s="40"/>
      <c r="V550" s="40"/>
      <c r="W550" s="40"/>
      <c r="X550" s="40"/>
      <c r="Y550" s="40"/>
      <c r="Z550" s="40"/>
      <c r="AA550" s="40"/>
      <c r="AB550" s="40"/>
    </row>
    <row r="551">
      <c r="G551" s="9"/>
      <c r="I551" s="244"/>
      <c r="J551" s="244"/>
      <c r="K551" s="244"/>
      <c r="U551" s="40"/>
      <c r="V551" s="40"/>
      <c r="W551" s="40"/>
      <c r="X551" s="40"/>
      <c r="Y551" s="40"/>
      <c r="Z551" s="40"/>
      <c r="AA551" s="40"/>
      <c r="AB551" s="40"/>
    </row>
    <row r="552">
      <c r="G552" s="9"/>
      <c r="I552" s="244"/>
      <c r="J552" s="244"/>
      <c r="K552" s="244"/>
      <c r="U552" s="40"/>
      <c r="V552" s="40"/>
      <c r="W552" s="40"/>
      <c r="X552" s="40"/>
      <c r="Y552" s="40"/>
      <c r="Z552" s="40"/>
      <c r="AA552" s="40"/>
      <c r="AB552" s="40"/>
    </row>
    <row r="553">
      <c r="G553" s="9"/>
      <c r="I553" s="244"/>
      <c r="J553" s="244"/>
      <c r="K553" s="244"/>
      <c r="U553" s="40"/>
      <c r="V553" s="40"/>
      <c r="W553" s="40"/>
      <c r="X553" s="40"/>
      <c r="Y553" s="40"/>
      <c r="Z553" s="40"/>
      <c r="AA553" s="40"/>
      <c r="AB553" s="40"/>
    </row>
    <row r="554">
      <c r="G554" s="9"/>
      <c r="I554" s="244"/>
      <c r="J554" s="244"/>
      <c r="K554" s="244"/>
      <c r="U554" s="40"/>
      <c r="V554" s="40"/>
      <c r="W554" s="40"/>
      <c r="X554" s="40"/>
      <c r="Y554" s="40"/>
      <c r="Z554" s="40"/>
      <c r="AA554" s="40"/>
      <c r="AB554" s="40"/>
    </row>
    <row r="555">
      <c r="G555" s="9"/>
      <c r="I555" s="244"/>
      <c r="J555" s="244"/>
      <c r="K555" s="244"/>
      <c r="U555" s="40"/>
      <c r="V555" s="40"/>
      <c r="W555" s="40"/>
      <c r="X555" s="40"/>
      <c r="Y555" s="40"/>
      <c r="Z555" s="40"/>
      <c r="AA555" s="40"/>
      <c r="AB555" s="40"/>
    </row>
    <row r="556">
      <c r="G556" s="9"/>
      <c r="I556" s="244"/>
      <c r="J556" s="244"/>
      <c r="K556" s="244"/>
      <c r="U556" s="40"/>
      <c r="V556" s="40"/>
      <c r="W556" s="40"/>
      <c r="X556" s="40"/>
      <c r="Y556" s="40"/>
      <c r="Z556" s="40"/>
      <c r="AA556" s="40"/>
      <c r="AB556" s="40"/>
    </row>
    <row r="557">
      <c r="G557" s="9"/>
      <c r="I557" s="244"/>
      <c r="J557" s="244"/>
      <c r="K557" s="244"/>
      <c r="U557" s="40"/>
      <c r="V557" s="40"/>
      <c r="W557" s="40"/>
      <c r="X557" s="40"/>
      <c r="Y557" s="40"/>
      <c r="Z557" s="40"/>
      <c r="AA557" s="40"/>
      <c r="AB557" s="40"/>
    </row>
    <row r="558">
      <c r="G558" s="9"/>
      <c r="I558" s="244"/>
      <c r="J558" s="244"/>
      <c r="K558" s="244"/>
      <c r="U558" s="40"/>
      <c r="V558" s="40"/>
      <c r="W558" s="40"/>
      <c r="X558" s="40"/>
      <c r="Y558" s="40"/>
      <c r="Z558" s="40"/>
      <c r="AA558" s="40"/>
      <c r="AB558" s="40"/>
    </row>
    <row r="559">
      <c r="G559" s="9"/>
      <c r="I559" s="244"/>
      <c r="J559" s="244"/>
      <c r="K559" s="244"/>
      <c r="U559" s="40"/>
      <c r="V559" s="40"/>
      <c r="W559" s="40"/>
      <c r="X559" s="40"/>
      <c r="Y559" s="40"/>
      <c r="Z559" s="40"/>
      <c r="AA559" s="40"/>
      <c r="AB559" s="40"/>
    </row>
    <row r="560">
      <c r="G560" s="9"/>
      <c r="I560" s="244"/>
      <c r="J560" s="244"/>
      <c r="K560" s="244"/>
      <c r="U560" s="40"/>
      <c r="V560" s="40"/>
      <c r="W560" s="40"/>
      <c r="X560" s="40"/>
      <c r="Y560" s="40"/>
      <c r="Z560" s="40"/>
      <c r="AA560" s="40"/>
      <c r="AB560" s="40"/>
    </row>
    <row r="561">
      <c r="G561" s="9"/>
      <c r="I561" s="244"/>
      <c r="J561" s="244"/>
      <c r="K561" s="244"/>
      <c r="U561" s="40"/>
      <c r="V561" s="40"/>
      <c r="W561" s="40"/>
      <c r="X561" s="40"/>
      <c r="Y561" s="40"/>
      <c r="Z561" s="40"/>
      <c r="AA561" s="40"/>
      <c r="AB561" s="40"/>
    </row>
    <row r="562">
      <c r="G562" s="9"/>
      <c r="I562" s="244"/>
      <c r="J562" s="244"/>
      <c r="K562" s="244"/>
      <c r="U562" s="40"/>
      <c r="V562" s="40"/>
      <c r="W562" s="40"/>
      <c r="X562" s="40"/>
      <c r="Y562" s="40"/>
      <c r="Z562" s="40"/>
      <c r="AA562" s="40"/>
      <c r="AB562" s="40"/>
    </row>
    <row r="563">
      <c r="G563" s="9"/>
      <c r="I563" s="244"/>
      <c r="J563" s="244"/>
      <c r="K563" s="244"/>
      <c r="U563" s="40"/>
      <c r="V563" s="40"/>
      <c r="W563" s="40"/>
      <c r="X563" s="40"/>
      <c r="Y563" s="40"/>
      <c r="Z563" s="40"/>
      <c r="AA563" s="40"/>
      <c r="AB563" s="40"/>
    </row>
    <row r="564">
      <c r="G564" s="9"/>
      <c r="I564" s="244"/>
      <c r="J564" s="244"/>
      <c r="K564" s="244"/>
      <c r="U564" s="40"/>
      <c r="V564" s="40"/>
      <c r="W564" s="40"/>
      <c r="X564" s="40"/>
      <c r="Y564" s="40"/>
      <c r="Z564" s="40"/>
      <c r="AA564" s="40"/>
      <c r="AB564" s="40"/>
    </row>
    <row r="565">
      <c r="G565" s="9"/>
      <c r="I565" s="244"/>
      <c r="J565" s="244"/>
      <c r="K565" s="244"/>
      <c r="U565" s="40"/>
      <c r="V565" s="40"/>
      <c r="W565" s="40"/>
      <c r="X565" s="40"/>
      <c r="Y565" s="40"/>
      <c r="Z565" s="40"/>
      <c r="AA565" s="40"/>
      <c r="AB565" s="40"/>
    </row>
    <row r="566">
      <c r="G566" s="9"/>
      <c r="I566" s="244"/>
      <c r="J566" s="244"/>
      <c r="K566" s="244"/>
      <c r="U566" s="40"/>
      <c r="V566" s="40"/>
      <c r="W566" s="40"/>
      <c r="X566" s="40"/>
      <c r="Y566" s="40"/>
      <c r="Z566" s="40"/>
      <c r="AA566" s="40"/>
      <c r="AB566" s="40"/>
    </row>
    <row r="567">
      <c r="G567" s="9"/>
      <c r="I567" s="244"/>
      <c r="J567" s="244"/>
      <c r="K567" s="244"/>
      <c r="U567" s="40"/>
      <c r="V567" s="40"/>
      <c r="W567" s="40"/>
      <c r="X567" s="40"/>
      <c r="Y567" s="40"/>
      <c r="Z567" s="40"/>
      <c r="AA567" s="40"/>
      <c r="AB567" s="40"/>
    </row>
    <row r="568">
      <c r="G568" s="9"/>
      <c r="I568" s="244"/>
      <c r="J568" s="244"/>
      <c r="K568" s="244"/>
      <c r="U568" s="40"/>
      <c r="V568" s="40"/>
      <c r="W568" s="40"/>
      <c r="X568" s="40"/>
      <c r="Y568" s="40"/>
      <c r="Z568" s="40"/>
      <c r="AA568" s="40"/>
      <c r="AB568" s="40"/>
    </row>
    <row r="569">
      <c r="G569" s="9"/>
      <c r="I569" s="244"/>
      <c r="J569" s="244"/>
      <c r="K569" s="244"/>
      <c r="U569" s="40"/>
      <c r="V569" s="40"/>
      <c r="W569" s="40"/>
      <c r="X569" s="40"/>
      <c r="Y569" s="40"/>
      <c r="Z569" s="40"/>
      <c r="AA569" s="40"/>
      <c r="AB569" s="40"/>
    </row>
    <row r="570">
      <c r="G570" s="9"/>
      <c r="I570" s="244"/>
      <c r="J570" s="244"/>
      <c r="K570" s="244"/>
      <c r="U570" s="40"/>
      <c r="V570" s="40"/>
      <c r="W570" s="40"/>
      <c r="X570" s="40"/>
      <c r="Y570" s="40"/>
      <c r="Z570" s="40"/>
      <c r="AA570" s="40"/>
      <c r="AB570" s="40"/>
    </row>
    <row r="571">
      <c r="G571" s="9"/>
      <c r="I571" s="244"/>
      <c r="J571" s="244"/>
      <c r="K571" s="244"/>
      <c r="U571" s="40"/>
      <c r="V571" s="40"/>
      <c r="W571" s="40"/>
      <c r="X571" s="40"/>
      <c r="Y571" s="40"/>
      <c r="Z571" s="40"/>
      <c r="AA571" s="40"/>
      <c r="AB571" s="40"/>
    </row>
    <row r="572">
      <c r="G572" s="9"/>
      <c r="I572" s="244"/>
      <c r="J572" s="244"/>
      <c r="K572" s="244"/>
      <c r="U572" s="40"/>
      <c r="V572" s="40"/>
      <c r="W572" s="40"/>
      <c r="X572" s="40"/>
      <c r="Y572" s="40"/>
      <c r="Z572" s="40"/>
      <c r="AA572" s="40"/>
      <c r="AB572" s="40"/>
    </row>
    <row r="573">
      <c r="G573" s="9"/>
      <c r="I573" s="244"/>
      <c r="J573" s="244"/>
      <c r="K573" s="244"/>
      <c r="U573" s="40"/>
      <c r="V573" s="40"/>
      <c r="W573" s="40"/>
      <c r="X573" s="40"/>
      <c r="Y573" s="40"/>
      <c r="Z573" s="40"/>
      <c r="AA573" s="40"/>
      <c r="AB573" s="40"/>
    </row>
    <row r="574">
      <c r="G574" s="9"/>
      <c r="I574" s="244"/>
      <c r="J574" s="244"/>
      <c r="K574" s="244"/>
      <c r="U574" s="40"/>
      <c r="V574" s="40"/>
      <c r="W574" s="40"/>
      <c r="X574" s="40"/>
      <c r="Y574" s="40"/>
      <c r="Z574" s="40"/>
      <c r="AA574" s="40"/>
      <c r="AB574" s="40"/>
    </row>
    <row r="575">
      <c r="G575" s="9"/>
      <c r="I575" s="244"/>
      <c r="J575" s="244"/>
      <c r="K575" s="244"/>
      <c r="U575" s="40"/>
      <c r="V575" s="40"/>
      <c r="W575" s="40"/>
      <c r="X575" s="40"/>
      <c r="Y575" s="40"/>
      <c r="Z575" s="40"/>
      <c r="AA575" s="40"/>
      <c r="AB575" s="40"/>
    </row>
    <row r="576">
      <c r="G576" s="9"/>
      <c r="I576" s="244"/>
      <c r="J576" s="244"/>
      <c r="K576" s="244"/>
      <c r="U576" s="40"/>
      <c r="V576" s="40"/>
      <c r="W576" s="40"/>
      <c r="X576" s="40"/>
      <c r="Y576" s="40"/>
      <c r="Z576" s="40"/>
      <c r="AA576" s="40"/>
      <c r="AB576" s="40"/>
    </row>
    <row r="577">
      <c r="G577" s="9"/>
      <c r="I577" s="244"/>
      <c r="J577" s="244"/>
      <c r="K577" s="244"/>
      <c r="U577" s="40"/>
      <c r="V577" s="40"/>
      <c r="W577" s="40"/>
      <c r="X577" s="40"/>
      <c r="Y577" s="40"/>
      <c r="Z577" s="40"/>
      <c r="AA577" s="40"/>
      <c r="AB577" s="40"/>
    </row>
    <row r="578">
      <c r="G578" s="9"/>
      <c r="I578" s="244"/>
      <c r="J578" s="244"/>
      <c r="K578" s="244"/>
      <c r="U578" s="40"/>
      <c r="V578" s="40"/>
      <c r="W578" s="40"/>
      <c r="X578" s="40"/>
      <c r="Y578" s="40"/>
      <c r="Z578" s="40"/>
      <c r="AA578" s="40"/>
      <c r="AB578" s="40"/>
    </row>
    <row r="579">
      <c r="G579" s="9"/>
      <c r="I579" s="244"/>
      <c r="J579" s="244"/>
      <c r="K579" s="244"/>
      <c r="U579" s="40"/>
      <c r="V579" s="40"/>
      <c r="W579" s="40"/>
      <c r="X579" s="40"/>
      <c r="Y579" s="40"/>
      <c r="Z579" s="40"/>
      <c r="AA579" s="40"/>
      <c r="AB579" s="40"/>
    </row>
    <row r="580">
      <c r="G580" s="9"/>
      <c r="I580" s="244"/>
      <c r="J580" s="244"/>
      <c r="K580" s="244"/>
      <c r="U580" s="40"/>
      <c r="V580" s="40"/>
      <c r="W580" s="40"/>
      <c r="X580" s="40"/>
      <c r="Y580" s="40"/>
      <c r="Z580" s="40"/>
      <c r="AA580" s="40"/>
      <c r="AB580" s="40"/>
    </row>
    <row r="581">
      <c r="G581" s="9"/>
      <c r="I581" s="244"/>
      <c r="J581" s="244"/>
      <c r="K581" s="244"/>
      <c r="U581" s="40"/>
      <c r="V581" s="40"/>
      <c r="W581" s="40"/>
      <c r="X581" s="40"/>
      <c r="Y581" s="40"/>
      <c r="Z581" s="40"/>
      <c r="AA581" s="40"/>
      <c r="AB581" s="40"/>
    </row>
    <row r="582">
      <c r="G582" s="9"/>
      <c r="I582" s="244"/>
      <c r="J582" s="244"/>
      <c r="K582" s="244"/>
      <c r="U582" s="40"/>
      <c r="V582" s="40"/>
      <c r="W582" s="40"/>
      <c r="X582" s="40"/>
      <c r="Y582" s="40"/>
      <c r="Z582" s="40"/>
      <c r="AA582" s="40"/>
      <c r="AB582" s="40"/>
    </row>
    <row r="583">
      <c r="G583" s="9"/>
      <c r="I583" s="244"/>
      <c r="J583" s="244"/>
      <c r="K583" s="244"/>
      <c r="U583" s="40"/>
      <c r="V583" s="40"/>
      <c r="W583" s="40"/>
      <c r="X583" s="40"/>
      <c r="Y583" s="40"/>
      <c r="Z583" s="40"/>
      <c r="AA583" s="40"/>
      <c r="AB583" s="40"/>
    </row>
    <row r="584">
      <c r="G584" s="9"/>
      <c r="I584" s="244"/>
      <c r="J584" s="244"/>
      <c r="K584" s="244"/>
      <c r="U584" s="40"/>
      <c r="V584" s="40"/>
      <c r="W584" s="40"/>
      <c r="X584" s="40"/>
      <c r="Y584" s="40"/>
      <c r="Z584" s="40"/>
      <c r="AA584" s="40"/>
      <c r="AB584" s="40"/>
    </row>
    <row r="585">
      <c r="G585" s="9"/>
      <c r="I585" s="244"/>
      <c r="J585" s="244"/>
      <c r="K585" s="244"/>
      <c r="U585" s="40"/>
      <c r="V585" s="40"/>
      <c r="W585" s="40"/>
      <c r="X585" s="40"/>
      <c r="Y585" s="40"/>
      <c r="Z585" s="40"/>
      <c r="AA585" s="40"/>
      <c r="AB585" s="40"/>
    </row>
    <row r="586">
      <c r="G586" s="9"/>
      <c r="I586" s="244"/>
      <c r="J586" s="244"/>
      <c r="K586" s="244"/>
      <c r="U586" s="40"/>
      <c r="V586" s="40"/>
      <c r="W586" s="40"/>
      <c r="X586" s="40"/>
      <c r="Y586" s="40"/>
      <c r="Z586" s="40"/>
      <c r="AA586" s="40"/>
      <c r="AB586" s="40"/>
    </row>
    <row r="587">
      <c r="G587" s="9"/>
      <c r="I587" s="244"/>
      <c r="J587" s="244"/>
      <c r="K587" s="244"/>
      <c r="U587" s="40"/>
      <c r="V587" s="40"/>
      <c r="W587" s="40"/>
      <c r="X587" s="40"/>
      <c r="Y587" s="40"/>
      <c r="Z587" s="40"/>
      <c r="AA587" s="40"/>
      <c r="AB587" s="40"/>
    </row>
    <row r="588">
      <c r="G588" s="9"/>
      <c r="I588" s="244"/>
      <c r="J588" s="244"/>
      <c r="K588" s="244"/>
      <c r="U588" s="40"/>
      <c r="V588" s="40"/>
      <c r="W588" s="40"/>
      <c r="X588" s="40"/>
      <c r="Y588" s="40"/>
      <c r="Z588" s="40"/>
      <c r="AA588" s="40"/>
      <c r="AB588" s="40"/>
    </row>
    <row r="589">
      <c r="G589" s="9"/>
      <c r="I589" s="244"/>
      <c r="J589" s="244"/>
      <c r="K589" s="244"/>
      <c r="U589" s="40"/>
      <c r="V589" s="40"/>
      <c r="W589" s="40"/>
      <c r="X589" s="40"/>
      <c r="Y589" s="40"/>
      <c r="Z589" s="40"/>
      <c r="AA589" s="40"/>
      <c r="AB589" s="40"/>
    </row>
    <row r="590">
      <c r="G590" s="9"/>
      <c r="I590" s="244"/>
      <c r="J590" s="244"/>
      <c r="K590" s="244"/>
      <c r="U590" s="40"/>
      <c r="V590" s="40"/>
      <c r="W590" s="40"/>
      <c r="X590" s="40"/>
      <c r="Y590" s="40"/>
      <c r="Z590" s="40"/>
      <c r="AA590" s="40"/>
      <c r="AB590" s="40"/>
    </row>
    <row r="591">
      <c r="G591" s="9"/>
      <c r="I591" s="244"/>
      <c r="J591" s="244"/>
      <c r="K591" s="244"/>
      <c r="U591" s="40"/>
      <c r="V591" s="40"/>
      <c r="W591" s="40"/>
      <c r="X591" s="40"/>
      <c r="Y591" s="40"/>
      <c r="Z591" s="40"/>
      <c r="AA591" s="40"/>
      <c r="AB591" s="40"/>
    </row>
    <row r="592">
      <c r="G592" s="9"/>
      <c r="I592" s="244"/>
      <c r="J592" s="244"/>
      <c r="K592" s="244"/>
      <c r="U592" s="40"/>
      <c r="V592" s="40"/>
      <c r="W592" s="40"/>
      <c r="X592" s="40"/>
      <c r="Y592" s="40"/>
      <c r="Z592" s="40"/>
      <c r="AA592" s="40"/>
      <c r="AB592" s="40"/>
    </row>
    <row r="593">
      <c r="G593" s="9"/>
      <c r="I593" s="244"/>
      <c r="J593" s="244"/>
      <c r="K593" s="244"/>
      <c r="U593" s="40"/>
      <c r="V593" s="40"/>
      <c r="W593" s="40"/>
      <c r="X593" s="40"/>
      <c r="Y593" s="40"/>
      <c r="Z593" s="40"/>
      <c r="AA593" s="40"/>
      <c r="AB593" s="40"/>
    </row>
    <row r="594">
      <c r="G594" s="9"/>
      <c r="I594" s="244"/>
      <c r="J594" s="244"/>
      <c r="K594" s="244"/>
      <c r="U594" s="40"/>
      <c r="V594" s="40"/>
      <c r="W594" s="40"/>
      <c r="X594" s="40"/>
      <c r="Y594" s="40"/>
      <c r="Z594" s="40"/>
      <c r="AA594" s="40"/>
      <c r="AB594" s="40"/>
    </row>
    <row r="595">
      <c r="G595" s="9"/>
      <c r="I595" s="244"/>
      <c r="J595" s="244"/>
      <c r="K595" s="244"/>
      <c r="U595" s="40"/>
      <c r="V595" s="40"/>
      <c r="W595" s="40"/>
      <c r="X595" s="40"/>
      <c r="Y595" s="40"/>
      <c r="Z595" s="40"/>
      <c r="AA595" s="40"/>
      <c r="AB595" s="40"/>
    </row>
    <row r="596">
      <c r="G596" s="9"/>
      <c r="I596" s="244"/>
      <c r="J596" s="244"/>
      <c r="K596" s="244"/>
      <c r="U596" s="40"/>
      <c r="V596" s="40"/>
      <c r="W596" s="40"/>
      <c r="X596" s="40"/>
      <c r="Y596" s="40"/>
      <c r="Z596" s="40"/>
      <c r="AA596" s="40"/>
      <c r="AB596" s="40"/>
    </row>
    <row r="597">
      <c r="G597" s="9"/>
      <c r="I597" s="244"/>
      <c r="J597" s="244"/>
      <c r="K597" s="244"/>
      <c r="U597" s="40"/>
      <c r="V597" s="40"/>
      <c r="W597" s="40"/>
      <c r="X597" s="40"/>
      <c r="Y597" s="40"/>
      <c r="Z597" s="40"/>
      <c r="AA597" s="40"/>
      <c r="AB597" s="40"/>
    </row>
    <row r="598">
      <c r="G598" s="9"/>
      <c r="I598" s="244"/>
      <c r="J598" s="244"/>
      <c r="K598" s="244"/>
      <c r="U598" s="40"/>
      <c r="V598" s="40"/>
      <c r="W598" s="40"/>
      <c r="X598" s="40"/>
      <c r="Y598" s="40"/>
      <c r="Z598" s="40"/>
      <c r="AA598" s="40"/>
      <c r="AB598" s="40"/>
    </row>
    <row r="599">
      <c r="G599" s="9"/>
      <c r="I599" s="244"/>
      <c r="J599" s="244"/>
      <c r="K599" s="244"/>
      <c r="U599" s="40"/>
      <c r="V599" s="40"/>
      <c r="W599" s="40"/>
      <c r="X599" s="40"/>
      <c r="Y599" s="40"/>
      <c r="Z599" s="40"/>
      <c r="AA599" s="40"/>
      <c r="AB599" s="40"/>
    </row>
    <row r="600">
      <c r="G600" s="9"/>
      <c r="I600" s="244"/>
      <c r="J600" s="244"/>
      <c r="K600" s="244"/>
      <c r="U600" s="40"/>
      <c r="V600" s="40"/>
      <c r="W600" s="40"/>
      <c r="X600" s="40"/>
      <c r="Y600" s="40"/>
      <c r="Z600" s="40"/>
      <c r="AA600" s="40"/>
      <c r="AB600" s="40"/>
    </row>
    <row r="601">
      <c r="G601" s="9"/>
      <c r="I601" s="244"/>
      <c r="J601" s="244"/>
      <c r="K601" s="244"/>
      <c r="U601" s="40"/>
      <c r="V601" s="40"/>
      <c r="W601" s="40"/>
      <c r="X601" s="40"/>
      <c r="Y601" s="40"/>
      <c r="Z601" s="40"/>
      <c r="AA601" s="40"/>
      <c r="AB601" s="40"/>
    </row>
    <row r="602">
      <c r="G602" s="9"/>
      <c r="I602" s="244"/>
      <c r="J602" s="244"/>
      <c r="K602" s="244"/>
      <c r="U602" s="40"/>
      <c r="V602" s="40"/>
      <c r="W602" s="40"/>
      <c r="X602" s="40"/>
      <c r="Y602" s="40"/>
      <c r="Z602" s="40"/>
      <c r="AA602" s="40"/>
      <c r="AB602" s="40"/>
    </row>
    <row r="603">
      <c r="G603" s="9"/>
      <c r="I603" s="244"/>
      <c r="J603" s="244"/>
      <c r="K603" s="244"/>
      <c r="U603" s="40"/>
      <c r="V603" s="40"/>
      <c r="W603" s="40"/>
      <c r="X603" s="40"/>
      <c r="Y603" s="40"/>
      <c r="Z603" s="40"/>
      <c r="AA603" s="40"/>
      <c r="AB603" s="40"/>
    </row>
    <row r="604">
      <c r="G604" s="9"/>
      <c r="I604" s="244"/>
      <c r="J604" s="244"/>
      <c r="K604" s="244"/>
      <c r="U604" s="40"/>
      <c r="V604" s="40"/>
      <c r="W604" s="40"/>
      <c r="X604" s="40"/>
      <c r="Y604" s="40"/>
      <c r="Z604" s="40"/>
      <c r="AA604" s="40"/>
      <c r="AB604" s="40"/>
    </row>
    <row r="605">
      <c r="G605" s="9"/>
      <c r="I605" s="244"/>
      <c r="J605" s="244"/>
      <c r="K605" s="244"/>
      <c r="U605" s="40"/>
      <c r="V605" s="40"/>
      <c r="W605" s="40"/>
      <c r="X605" s="40"/>
      <c r="Y605" s="40"/>
      <c r="Z605" s="40"/>
      <c r="AA605" s="40"/>
      <c r="AB605" s="40"/>
    </row>
    <row r="606">
      <c r="G606" s="9"/>
      <c r="I606" s="244"/>
      <c r="J606" s="244"/>
      <c r="K606" s="244"/>
      <c r="U606" s="40"/>
      <c r="V606" s="40"/>
      <c r="W606" s="40"/>
      <c r="X606" s="40"/>
      <c r="Y606" s="40"/>
      <c r="Z606" s="40"/>
      <c r="AA606" s="40"/>
      <c r="AB606" s="40"/>
    </row>
    <row r="607">
      <c r="G607" s="9"/>
      <c r="I607" s="244"/>
      <c r="J607" s="244"/>
      <c r="K607" s="244"/>
      <c r="U607" s="40"/>
      <c r="V607" s="40"/>
      <c r="W607" s="40"/>
      <c r="X607" s="40"/>
      <c r="Y607" s="40"/>
      <c r="Z607" s="40"/>
      <c r="AA607" s="40"/>
      <c r="AB607" s="40"/>
    </row>
    <row r="608">
      <c r="G608" s="9"/>
      <c r="I608" s="244"/>
      <c r="J608" s="244"/>
      <c r="K608" s="244"/>
      <c r="U608" s="40"/>
      <c r="V608" s="40"/>
      <c r="W608" s="40"/>
      <c r="X608" s="40"/>
      <c r="Y608" s="40"/>
      <c r="Z608" s="40"/>
      <c r="AA608" s="40"/>
      <c r="AB608" s="40"/>
    </row>
    <row r="609">
      <c r="G609" s="9"/>
      <c r="I609" s="244"/>
      <c r="J609" s="244"/>
      <c r="K609" s="244"/>
      <c r="U609" s="40"/>
      <c r="V609" s="40"/>
      <c r="W609" s="40"/>
      <c r="X609" s="40"/>
      <c r="Y609" s="40"/>
      <c r="Z609" s="40"/>
      <c r="AA609" s="40"/>
      <c r="AB609" s="40"/>
    </row>
    <row r="610">
      <c r="G610" s="9"/>
      <c r="I610" s="244"/>
      <c r="J610" s="244"/>
      <c r="K610" s="244"/>
      <c r="U610" s="40"/>
      <c r="V610" s="40"/>
      <c r="W610" s="40"/>
      <c r="X610" s="40"/>
      <c r="Y610" s="40"/>
      <c r="Z610" s="40"/>
      <c r="AA610" s="40"/>
      <c r="AB610" s="40"/>
    </row>
    <row r="611">
      <c r="G611" s="9"/>
      <c r="I611" s="244"/>
      <c r="J611" s="244"/>
      <c r="K611" s="244"/>
      <c r="U611" s="40"/>
      <c r="V611" s="40"/>
      <c r="W611" s="40"/>
      <c r="X611" s="40"/>
      <c r="Y611" s="40"/>
      <c r="Z611" s="40"/>
      <c r="AA611" s="40"/>
      <c r="AB611" s="40"/>
    </row>
    <row r="612">
      <c r="G612" s="9"/>
      <c r="I612" s="244"/>
      <c r="J612" s="244"/>
      <c r="K612" s="244"/>
      <c r="U612" s="40"/>
      <c r="V612" s="40"/>
      <c r="W612" s="40"/>
      <c r="X612" s="40"/>
      <c r="Y612" s="40"/>
      <c r="Z612" s="40"/>
      <c r="AA612" s="40"/>
      <c r="AB612" s="40"/>
    </row>
    <row r="613">
      <c r="G613" s="9"/>
      <c r="I613" s="244"/>
      <c r="J613" s="244"/>
      <c r="K613" s="244"/>
      <c r="U613" s="40"/>
      <c r="V613" s="40"/>
      <c r="W613" s="40"/>
      <c r="X613" s="40"/>
      <c r="Y613" s="40"/>
      <c r="Z613" s="40"/>
      <c r="AA613" s="40"/>
      <c r="AB613" s="40"/>
    </row>
    <row r="614">
      <c r="G614" s="9"/>
      <c r="I614" s="244"/>
      <c r="J614" s="244"/>
      <c r="K614" s="244"/>
      <c r="U614" s="40"/>
      <c r="V614" s="40"/>
      <c r="W614" s="40"/>
      <c r="X614" s="40"/>
      <c r="Y614" s="40"/>
      <c r="Z614" s="40"/>
      <c r="AA614" s="40"/>
      <c r="AB614" s="40"/>
    </row>
    <row r="615">
      <c r="G615" s="9"/>
      <c r="I615" s="244"/>
      <c r="J615" s="244"/>
      <c r="K615" s="244"/>
      <c r="U615" s="40"/>
      <c r="V615" s="40"/>
      <c r="W615" s="40"/>
      <c r="X615" s="40"/>
      <c r="Y615" s="40"/>
      <c r="Z615" s="40"/>
      <c r="AA615" s="40"/>
      <c r="AB615" s="40"/>
    </row>
    <row r="616">
      <c r="G616" s="9"/>
      <c r="I616" s="244"/>
      <c r="J616" s="244"/>
      <c r="K616" s="244"/>
      <c r="U616" s="40"/>
      <c r="V616" s="40"/>
      <c r="W616" s="40"/>
      <c r="X616" s="40"/>
      <c r="Y616" s="40"/>
      <c r="Z616" s="40"/>
      <c r="AA616" s="40"/>
      <c r="AB616" s="40"/>
    </row>
    <row r="617">
      <c r="G617" s="9"/>
      <c r="I617" s="244"/>
      <c r="J617" s="244"/>
      <c r="K617" s="244"/>
      <c r="U617" s="40"/>
      <c r="V617" s="40"/>
      <c r="W617" s="40"/>
      <c r="X617" s="40"/>
      <c r="Y617" s="40"/>
      <c r="Z617" s="40"/>
      <c r="AA617" s="40"/>
      <c r="AB617" s="40"/>
    </row>
    <row r="618">
      <c r="G618" s="9"/>
      <c r="I618" s="244"/>
      <c r="J618" s="244"/>
      <c r="K618" s="244"/>
      <c r="U618" s="40"/>
      <c r="V618" s="40"/>
      <c r="W618" s="40"/>
      <c r="X618" s="40"/>
      <c r="Y618" s="40"/>
      <c r="Z618" s="40"/>
      <c r="AA618" s="40"/>
      <c r="AB618" s="40"/>
    </row>
    <row r="619">
      <c r="G619" s="9"/>
      <c r="I619" s="244"/>
      <c r="J619" s="244"/>
      <c r="K619" s="244"/>
      <c r="U619" s="40"/>
      <c r="V619" s="40"/>
      <c r="W619" s="40"/>
      <c r="X619" s="40"/>
      <c r="Y619" s="40"/>
      <c r="Z619" s="40"/>
      <c r="AA619" s="40"/>
      <c r="AB619" s="40"/>
    </row>
    <row r="620">
      <c r="G620" s="9"/>
      <c r="I620" s="244"/>
      <c r="J620" s="244"/>
      <c r="K620" s="244"/>
      <c r="U620" s="40"/>
      <c r="V620" s="40"/>
      <c r="W620" s="40"/>
      <c r="X620" s="40"/>
      <c r="Y620" s="40"/>
      <c r="Z620" s="40"/>
      <c r="AA620" s="40"/>
      <c r="AB620" s="40"/>
    </row>
    <row r="621">
      <c r="G621" s="9"/>
      <c r="I621" s="244"/>
      <c r="J621" s="244"/>
      <c r="K621" s="244"/>
      <c r="U621" s="40"/>
      <c r="V621" s="40"/>
      <c r="W621" s="40"/>
      <c r="X621" s="40"/>
      <c r="Y621" s="40"/>
      <c r="Z621" s="40"/>
      <c r="AA621" s="40"/>
      <c r="AB621" s="40"/>
    </row>
    <row r="622">
      <c r="G622" s="9"/>
      <c r="I622" s="244"/>
      <c r="J622" s="244"/>
      <c r="K622" s="244"/>
      <c r="U622" s="40"/>
      <c r="V622" s="40"/>
      <c r="W622" s="40"/>
      <c r="X622" s="40"/>
      <c r="Y622" s="40"/>
      <c r="Z622" s="40"/>
      <c r="AA622" s="40"/>
      <c r="AB622" s="40"/>
    </row>
    <row r="623">
      <c r="G623" s="9"/>
      <c r="I623" s="244"/>
      <c r="J623" s="244"/>
      <c r="K623" s="244"/>
      <c r="U623" s="40"/>
      <c r="V623" s="40"/>
      <c r="W623" s="40"/>
      <c r="X623" s="40"/>
      <c r="Y623" s="40"/>
      <c r="Z623" s="40"/>
      <c r="AA623" s="40"/>
      <c r="AB623" s="40"/>
    </row>
    <row r="624">
      <c r="G624" s="9"/>
      <c r="I624" s="244"/>
      <c r="J624" s="244"/>
      <c r="K624" s="244"/>
      <c r="U624" s="40"/>
      <c r="V624" s="40"/>
      <c r="W624" s="40"/>
      <c r="X624" s="40"/>
      <c r="Y624" s="40"/>
      <c r="Z624" s="40"/>
      <c r="AA624" s="40"/>
      <c r="AB624" s="40"/>
    </row>
    <row r="625">
      <c r="G625" s="9"/>
      <c r="I625" s="244"/>
      <c r="J625" s="244"/>
      <c r="K625" s="244"/>
      <c r="U625" s="40"/>
      <c r="V625" s="40"/>
      <c r="W625" s="40"/>
      <c r="X625" s="40"/>
      <c r="Y625" s="40"/>
      <c r="Z625" s="40"/>
      <c r="AA625" s="40"/>
      <c r="AB625" s="40"/>
    </row>
    <row r="626">
      <c r="G626" s="9"/>
      <c r="I626" s="244"/>
      <c r="J626" s="244"/>
      <c r="K626" s="244"/>
      <c r="U626" s="40"/>
      <c r="V626" s="40"/>
      <c r="W626" s="40"/>
      <c r="X626" s="40"/>
      <c r="Y626" s="40"/>
      <c r="Z626" s="40"/>
      <c r="AA626" s="40"/>
      <c r="AB626" s="40"/>
    </row>
    <row r="627">
      <c r="G627" s="9"/>
      <c r="I627" s="244"/>
      <c r="J627" s="244"/>
      <c r="K627" s="244"/>
      <c r="U627" s="40"/>
      <c r="V627" s="40"/>
      <c r="W627" s="40"/>
      <c r="X627" s="40"/>
      <c r="Y627" s="40"/>
      <c r="Z627" s="40"/>
      <c r="AA627" s="40"/>
      <c r="AB627" s="40"/>
    </row>
    <row r="628">
      <c r="G628" s="9"/>
      <c r="I628" s="244"/>
      <c r="J628" s="244"/>
      <c r="K628" s="244"/>
      <c r="U628" s="40"/>
      <c r="V628" s="40"/>
      <c r="W628" s="40"/>
      <c r="X628" s="40"/>
      <c r="Y628" s="40"/>
      <c r="Z628" s="40"/>
      <c r="AA628" s="40"/>
      <c r="AB628" s="40"/>
    </row>
    <row r="629">
      <c r="G629" s="9"/>
      <c r="I629" s="244"/>
      <c r="J629" s="244"/>
      <c r="K629" s="244"/>
      <c r="U629" s="40"/>
      <c r="V629" s="40"/>
      <c r="W629" s="40"/>
      <c r="X629" s="40"/>
      <c r="Y629" s="40"/>
      <c r="Z629" s="40"/>
      <c r="AA629" s="40"/>
      <c r="AB629" s="40"/>
    </row>
    <row r="630">
      <c r="G630" s="9"/>
      <c r="I630" s="244"/>
      <c r="J630" s="244"/>
      <c r="K630" s="244"/>
      <c r="U630" s="40"/>
      <c r="V630" s="40"/>
      <c r="W630" s="40"/>
      <c r="X630" s="40"/>
      <c r="Y630" s="40"/>
      <c r="Z630" s="40"/>
      <c r="AA630" s="40"/>
      <c r="AB630" s="40"/>
    </row>
    <row r="631">
      <c r="G631" s="9"/>
      <c r="I631" s="244"/>
      <c r="J631" s="244"/>
      <c r="K631" s="244"/>
      <c r="U631" s="40"/>
      <c r="V631" s="40"/>
      <c r="W631" s="40"/>
      <c r="X631" s="40"/>
      <c r="Y631" s="40"/>
      <c r="Z631" s="40"/>
      <c r="AA631" s="40"/>
      <c r="AB631" s="40"/>
    </row>
    <row r="632">
      <c r="G632" s="9"/>
      <c r="I632" s="244"/>
      <c r="J632" s="244"/>
      <c r="K632" s="244"/>
      <c r="U632" s="40"/>
      <c r="V632" s="40"/>
      <c r="W632" s="40"/>
      <c r="X632" s="40"/>
      <c r="Y632" s="40"/>
      <c r="Z632" s="40"/>
      <c r="AA632" s="40"/>
      <c r="AB632" s="40"/>
    </row>
    <row r="633">
      <c r="G633" s="9"/>
      <c r="I633" s="244"/>
      <c r="J633" s="244"/>
      <c r="K633" s="244"/>
      <c r="U633" s="40"/>
      <c r="V633" s="40"/>
      <c r="W633" s="40"/>
      <c r="X633" s="40"/>
      <c r="Y633" s="40"/>
      <c r="Z633" s="40"/>
      <c r="AA633" s="40"/>
      <c r="AB633" s="40"/>
    </row>
    <row r="634">
      <c r="G634" s="9"/>
      <c r="I634" s="244"/>
      <c r="J634" s="244"/>
      <c r="K634" s="244"/>
      <c r="U634" s="40"/>
      <c r="V634" s="40"/>
      <c r="W634" s="40"/>
      <c r="X634" s="40"/>
      <c r="Y634" s="40"/>
      <c r="Z634" s="40"/>
      <c r="AA634" s="40"/>
      <c r="AB634" s="40"/>
    </row>
    <row r="635">
      <c r="G635" s="9"/>
      <c r="I635" s="244"/>
      <c r="J635" s="244"/>
      <c r="K635" s="244"/>
      <c r="U635" s="40"/>
      <c r="V635" s="40"/>
      <c r="W635" s="40"/>
      <c r="X635" s="40"/>
      <c r="Y635" s="40"/>
      <c r="Z635" s="40"/>
      <c r="AA635" s="40"/>
      <c r="AB635" s="40"/>
    </row>
    <row r="636">
      <c r="G636" s="9"/>
      <c r="I636" s="244"/>
      <c r="J636" s="244"/>
      <c r="K636" s="244"/>
      <c r="U636" s="40"/>
      <c r="V636" s="40"/>
      <c r="W636" s="40"/>
      <c r="X636" s="40"/>
      <c r="Y636" s="40"/>
      <c r="Z636" s="40"/>
      <c r="AA636" s="40"/>
      <c r="AB636" s="40"/>
    </row>
    <row r="637">
      <c r="G637" s="9"/>
      <c r="I637" s="244"/>
      <c r="J637" s="244"/>
      <c r="K637" s="244"/>
      <c r="U637" s="40"/>
      <c r="V637" s="40"/>
      <c r="W637" s="40"/>
      <c r="X637" s="40"/>
      <c r="Y637" s="40"/>
      <c r="Z637" s="40"/>
      <c r="AA637" s="40"/>
      <c r="AB637" s="40"/>
    </row>
    <row r="638">
      <c r="G638" s="9"/>
      <c r="I638" s="244"/>
      <c r="J638" s="244"/>
      <c r="K638" s="244"/>
      <c r="U638" s="40"/>
      <c r="V638" s="40"/>
      <c r="W638" s="40"/>
      <c r="X638" s="40"/>
      <c r="Y638" s="40"/>
      <c r="Z638" s="40"/>
      <c r="AA638" s="40"/>
      <c r="AB638" s="40"/>
    </row>
    <row r="639">
      <c r="G639" s="9"/>
      <c r="I639" s="244"/>
      <c r="J639" s="244"/>
      <c r="K639" s="244"/>
      <c r="U639" s="40"/>
      <c r="V639" s="40"/>
      <c r="W639" s="40"/>
      <c r="X639" s="40"/>
      <c r="Y639" s="40"/>
      <c r="Z639" s="40"/>
      <c r="AA639" s="40"/>
      <c r="AB639" s="40"/>
    </row>
    <row r="640">
      <c r="G640" s="9"/>
      <c r="I640" s="244"/>
      <c r="J640" s="244"/>
      <c r="K640" s="244"/>
      <c r="U640" s="40"/>
      <c r="V640" s="40"/>
      <c r="W640" s="40"/>
      <c r="X640" s="40"/>
      <c r="Y640" s="40"/>
      <c r="Z640" s="40"/>
      <c r="AA640" s="40"/>
      <c r="AB640" s="40"/>
    </row>
    <row r="641">
      <c r="G641" s="9"/>
      <c r="I641" s="244"/>
      <c r="J641" s="244"/>
      <c r="K641" s="244"/>
      <c r="U641" s="40"/>
      <c r="V641" s="40"/>
      <c r="W641" s="40"/>
      <c r="X641" s="40"/>
      <c r="Y641" s="40"/>
      <c r="Z641" s="40"/>
      <c r="AA641" s="40"/>
      <c r="AB641" s="40"/>
    </row>
    <row r="642">
      <c r="G642" s="9"/>
      <c r="I642" s="244"/>
      <c r="J642" s="244"/>
      <c r="K642" s="244"/>
      <c r="U642" s="40"/>
      <c r="V642" s="40"/>
      <c r="W642" s="40"/>
      <c r="X642" s="40"/>
      <c r="Y642" s="40"/>
      <c r="Z642" s="40"/>
      <c r="AA642" s="40"/>
      <c r="AB642" s="40"/>
    </row>
    <row r="643">
      <c r="G643" s="9"/>
      <c r="I643" s="244"/>
      <c r="J643" s="244"/>
      <c r="K643" s="244"/>
      <c r="U643" s="40"/>
      <c r="V643" s="40"/>
      <c r="W643" s="40"/>
      <c r="X643" s="40"/>
      <c r="Y643" s="40"/>
      <c r="Z643" s="40"/>
      <c r="AA643" s="40"/>
      <c r="AB643" s="40"/>
    </row>
    <row r="644">
      <c r="G644" s="9"/>
      <c r="I644" s="244"/>
      <c r="J644" s="244"/>
      <c r="K644" s="244"/>
      <c r="U644" s="40"/>
      <c r="V644" s="40"/>
      <c r="W644" s="40"/>
      <c r="X644" s="40"/>
      <c r="Y644" s="40"/>
      <c r="Z644" s="40"/>
      <c r="AA644" s="40"/>
      <c r="AB644" s="40"/>
    </row>
    <row r="645">
      <c r="G645" s="9"/>
      <c r="I645" s="244"/>
      <c r="J645" s="244"/>
      <c r="K645" s="244"/>
      <c r="U645" s="40"/>
      <c r="V645" s="40"/>
      <c r="W645" s="40"/>
      <c r="X645" s="40"/>
      <c r="Y645" s="40"/>
      <c r="Z645" s="40"/>
      <c r="AA645" s="40"/>
      <c r="AB645" s="40"/>
    </row>
    <row r="646">
      <c r="G646" s="9"/>
      <c r="I646" s="244"/>
      <c r="J646" s="244"/>
      <c r="K646" s="244"/>
      <c r="U646" s="40"/>
      <c r="V646" s="40"/>
      <c r="W646" s="40"/>
      <c r="X646" s="40"/>
      <c r="Y646" s="40"/>
      <c r="Z646" s="40"/>
      <c r="AA646" s="40"/>
      <c r="AB646" s="40"/>
    </row>
    <row r="647">
      <c r="G647" s="9"/>
      <c r="I647" s="244"/>
      <c r="J647" s="244"/>
      <c r="K647" s="244"/>
      <c r="U647" s="40"/>
      <c r="V647" s="40"/>
      <c r="W647" s="40"/>
      <c r="X647" s="40"/>
      <c r="Y647" s="40"/>
      <c r="Z647" s="40"/>
      <c r="AA647" s="40"/>
      <c r="AB647" s="40"/>
    </row>
    <row r="648">
      <c r="G648" s="9"/>
      <c r="I648" s="244"/>
      <c r="J648" s="244"/>
      <c r="K648" s="244"/>
      <c r="U648" s="40"/>
      <c r="V648" s="40"/>
      <c r="W648" s="40"/>
      <c r="X648" s="40"/>
      <c r="Y648" s="40"/>
      <c r="Z648" s="40"/>
      <c r="AA648" s="40"/>
      <c r="AB648" s="40"/>
    </row>
    <row r="649">
      <c r="G649" s="9"/>
      <c r="I649" s="244"/>
      <c r="J649" s="244"/>
      <c r="K649" s="244"/>
      <c r="U649" s="40"/>
      <c r="V649" s="40"/>
      <c r="W649" s="40"/>
      <c r="X649" s="40"/>
      <c r="Y649" s="40"/>
      <c r="Z649" s="40"/>
      <c r="AA649" s="40"/>
      <c r="AB649" s="40"/>
    </row>
    <row r="650">
      <c r="G650" s="9"/>
      <c r="I650" s="244"/>
      <c r="J650" s="244"/>
      <c r="K650" s="244"/>
      <c r="U650" s="40"/>
      <c r="V650" s="40"/>
      <c r="W650" s="40"/>
      <c r="X650" s="40"/>
      <c r="Y650" s="40"/>
      <c r="Z650" s="40"/>
      <c r="AA650" s="40"/>
      <c r="AB650" s="40"/>
    </row>
    <row r="651">
      <c r="G651" s="9"/>
      <c r="I651" s="244"/>
      <c r="J651" s="244"/>
      <c r="K651" s="244"/>
      <c r="U651" s="40"/>
      <c r="V651" s="40"/>
      <c r="W651" s="40"/>
      <c r="X651" s="40"/>
      <c r="Y651" s="40"/>
      <c r="Z651" s="40"/>
      <c r="AA651" s="40"/>
      <c r="AB651" s="40"/>
    </row>
    <row r="652">
      <c r="G652" s="9"/>
      <c r="I652" s="244"/>
      <c r="J652" s="244"/>
      <c r="K652" s="244"/>
      <c r="U652" s="40"/>
      <c r="V652" s="40"/>
      <c r="W652" s="40"/>
      <c r="X652" s="40"/>
      <c r="Y652" s="40"/>
      <c r="Z652" s="40"/>
      <c r="AA652" s="40"/>
      <c r="AB652" s="40"/>
    </row>
    <row r="653">
      <c r="G653" s="9"/>
      <c r="I653" s="244"/>
      <c r="J653" s="244"/>
      <c r="K653" s="244"/>
      <c r="U653" s="40"/>
      <c r="V653" s="40"/>
      <c r="W653" s="40"/>
      <c r="X653" s="40"/>
      <c r="Y653" s="40"/>
      <c r="Z653" s="40"/>
      <c r="AA653" s="40"/>
      <c r="AB653" s="40"/>
    </row>
    <row r="654">
      <c r="G654" s="9"/>
      <c r="I654" s="244"/>
      <c r="J654" s="244"/>
      <c r="K654" s="244"/>
      <c r="U654" s="40"/>
      <c r="V654" s="40"/>
      <c r="W654" s="40"/>
      <c r="X654" s="40"/>
      <c r="Y654" s="40"/>
      <c r="Z654" s="40"/>
      <c r="AA654" s="40"/>
      <c r="AB654" s="40"/>
    </row>
    <row r="655">
      <c r="G655" s="9"/>
      <c r="I655" s="244"/>
      <c r="J655" s="244"/>
      <c r="K655" s="244"/>
      <c r="U655" s="40"/>
      <c r="V655" s="40"/>
      <c r="W655" s="40"/>
      <c r="X655" s="40"/>
      <c r="Y655" s="40"/>
      <c r="Z655" s="40"/>
      <c r="AA655" s="40"/>
      <c r="AB655" s="40"/>
    </row>
    <row r="656">
      <c r="G656" s="9"/>
      <c r="I656" s="244"/>
      <c r="J656" s="244"/>
      <c r="K656" s="244"/>
      <c r="U656" s="40"/>
      <c r="V656" s="40"/>
      <c r="W656" s="40"/>
      <c r="X656" s="40"/>
      <c r="Y656" s="40"/>
      <c r="Z656" s="40"/>
      <c r="AA656" s="40"/>
      <c r="AB656" s="40"/>
    </row>
    <row r="657">
      <c r="G657" s="9"/>
      <c r="I657" s="244"/>
      <c r="J657" s="244"/>
      <c r="K657" s="244"/>
      <c r="U657" s="40"/>
      <c r="V657" s="40"/>
      <c r="W657" s="40"/>
      <c r="X657" s="40"/>
      <c r="Y657" s="40"/>
      <c r="Z657" s="40"/>
      <c r="AA657" s="40"/>
      <c r="AB657" s="40"/>
    </row>
    <row r="658">
      <c r="G658" s="9"/>
      <c r="I658" s="244"/>
      <c r="J658" s="244"/>
      <c r="K658" s="244"/>
      <c r="U658" s="40"/>
      <c r="V658" s="40"/>
      <c r="W658" s="40"/>
      <c r="X658" s="40"/>
      <c r="Y658" s="40"/>
      <c r="Z658" s="40"/>
      <c r="AA658" s="40"/>
      <c r="AB658" s="40"/>
    </row>
    <row r="659">
      <c r="G659" s="9"/>
      <c r="I659" s="244"/>
      <c r="J659" s="244"/>
      <c r="K659" s="244"/>
      <c r="U659" s="40"/>
      <c r="V659" s="40"/>
      <c r="W659" s="40"/>
      <c r="X659" s="40"/>
      <c r="Y659" s="40"/>
      <c r="Z659" s="40"/>
      <c r="AA659" s="40"/>
      <c r="AB659" s="40"/>
    </row>
    <row r="660">
      <c r="G660" s="9"/>
      <c r="I660" s="244"/>
      <c r="J660" s="244"/>
      <c r="K660" s="244"/>
      <c r="U660" s="40"/>
      <c r="V660" s="40"/>
      <c r="W660" s="40"/>
      <c r="X660" s="40"/>
      <c r="Y660" s="40"/>
      <c r="Z660" s="40"/>
      <c r="AA660" s="40"/>
      <c r="AB660" s="40"/>
    </row>
    <row r="661">
      <c r="G661" s="9"/>
      <c r="I661" s="244"/>
      <c r="J661" s="244"/>
      <c r="K661" s="244"/>
      <c r="U661" s="40"/>
      <c r="V661" s="40"/>
      <c r="W661" s="40"/>
      <c r="X661" s="40"/>
      <c r="Y661" s="40"/>
      <c r="Z661" s="40"/>
      <c r="AA661" s="40"/>
      <c r="AB661" s="40"/>
    </row>
    <row r="662">
      <c r="G662" s="9"/>
      <c r="I662" s="244"/>
      <c r="J662" s="244"/>
      <c r="K662" s="244"/>
      <c r="U662" s="40"/>
      <c r="V662" s="40"/>
      <c r="W662" s="40"/>
      <c r="X662" s="40"/>
      <c r="Y662" s="40"/>
      <c r="Z662" s="40"/>
      <c r="AA662" s="40"/>
      <c r="AB662" s="40"/>
    </row>
    <row r="663">
      <c r="G663" s="9"/>
      <c r="I663" s="244"/>
      <c r="J663" s="244"/>
      <c r="K663" s="244"/>
      <c r="U663" s="40"/>
      <c r="V663" s="40"/>
      <c r="W663" s="40"/>
      <c r="X663" s="40"/>
      <c r="Y663" s="40"/>
      <c r="Z663" s="40"/>
      <c r="AA663" s="40"/>
      <c r="AB663" s="40"/>
    </row>
    <row r="664">
      <c r="G664" s="9"/>
      <c r="I664" s="244"/>
      <c r="J664" s="244"/>
      <c r="K664" s="244"/>
      <c r="U664" s="40"/>
      <c r="V664" s="40"/>
      <c r="W664" s="40"/>
      <c r="X664" s="40"/>
      <c r="Y664" s="40"/>
      <c r="Z664" s="40"/>
      <c r="AA664" s="40"/>
      <c r="AB664" s="40"/>
    </row>
    <row r="665">
      <c r="G665" s="9"/>
      <c r="I665" s="244"/>
      <c r="J665" s="244"/>
      <c r="K665" s="244"/>
      <c r="U665" s="40"/>
      <c r="V665" s="40"/>
      <c r="W665" s="40"/>
      <c r="X665" s="40"/>
      <c r="Y665" s="40"/>
      <c r="Z665" s="40"/>
      <c r="AA665" s="40"/>
      <c r="AB665" s="40"/>
    </row>
    <row r="666">
      <c r="G666" s="9"/>
      <c r="I666" s="244"/>
      <c r="J666" s="244"/>
      <c r="K666" s="244"/>
      <c r="U666" s="40"/>
      <c r="V666" s="40"/>
      <c r="W666" s="40"/>
      <c r="X666" s="40"/>
      <c r="Y666" s="40"/>
      <c r="Z666" s="40"/>
      <c r="AA666" s="40"/>
      <c r="AB666" s="40"/>
    </row>
    <row r="667">
      <c r="G667" s="9"/>
      <c r="I667" s="244"/>
      <c r="J667" s="244"/>
      <c r="K667" s="244"/>
      <c r="U667" s="40"/>
      <c r="V667" s="40"/>
      <c r="W667" s="40"/>
      <c r="X667" s="40"/>
      <c r="Y667" s="40"/>
      <c r="Z667" s="40"/>
      <c r="AA667" s="40"/>
      <c r="AB667" s="40"/>
    </row>
    <row r="668">
      <c r="G668" s="9"/>
      <c r="I668" s="244"/>
      <c r="J668" s="244"/>
      <c r="K668" s="244"/>
      <c r="U668" s="40"/>
      <c r="V668" s="40"/>
      <c r="W668" s="40"/>
      <c r="X668" s="40"/>
      <c r="Y668" s="40"/>
      <c r="Z668" s="40"/>
      <c r="AA668" s="40"/>
      <c r="AB668" s="40"/>
    </row>
    <row r="669">
      <c r="G669" s="9"/>
      <c r="I669" s="244"/>
      <c r="J669" s="244"/>
      <c r="K669" s="244"/>
      <c r="U669" s="40"/>
      <c r="V669" s="40"/>
      <c r="W669" s="40"/>
      <c r="X669" s="40"/>
      <c r="Y669" s="40"/>
      <c r="Z669" s="40"/>
      <c r="AA669" s="40"/>
      <c r="AB669" s="40"/>
    </row>
    <row r="670">
      <c r="G670" s="9"/>
      <c r="I670" s="244"/>
      <c r="J670" s="244"/>
      <c r="K670" s="244"/>
      <c r="U670" s="40"/>
      <c r="V670" s="40"/>
      <c r="W670" s="40"/>
      <c r="X670" s="40"/>
      <c r="Y670" s="40"/>
      <c r="Z670" s="40"/>
      <c r="AA670" s="40"/>
      <c r="AB670" s="40"/>
    </row>
    <row r="671">
      <c r="G671" s="9"/>
      <c r="I671" s="244"/>
      <c r="J671" s="244"/>
      <c r="K671" s="244"/>
      <c r="U671" s="40"/>
      <c r="V671" s="40"/>
      <c r="W671" s="40"/>
      <c r="X671" s="40"/>
      <c r="Y671" s="40"/>
      <c r="Z671" s="40"/>
      <c r="AA671" s="40"/>
      <c r="AB671" s="40"/>
    </row>
    <row r="672">
      <c r="G672" s="9"/>
      <c r="I672" s="244"/>
      <c r="J672" s="244"/>
      <c r="K672" s="244"/>
      <c r="U672" s="40"/>
      <c r="V672" s="40"/>
      <c r="W672" s="40"/>
      <c r="X672" s="40"/>
      <c r="Y672" s="40"/>
      <c r="Z672" s="40"/>
      <c r="AA672" s="40"/>
      <c r="AB672" s="40"/>
    </row>
    <row r="673">
      <c r="G673" s="9"/>
      <c r="I673" s="244"/>
      <c r="J673" s="244"/>
      <c r="K673" s="244"/>
      <c r="U673" s="40"/>
      <c r="V673" s="40"/>
      <c r="W673" s="40"/>
      <c r="X673" s="40"/>
      <c r="Y673" s="40"/>
      <c r="Z673" s="40"/>
      <c r="AA673" s="40"/>
      <c r="AB673" s="40"/>
    </row>
    <row r="674">
      <c r="G674" s="9"/>
      <c r="I674" s="244"/>
      <c r="J674" s="244"/>
      <c r="K674" s="244"/>
      <c r="U674" s="40"/>
      <c r="V674" s="40"/>
      <c r="W674" s="40"/>
      <c r="X674" s="40"/>
      <c r="Y674" s="40"/>
      <c r="Z674" s="40"/>
      <c r="AA674" s="40"/>
      <c r="AB674" s="40"/>
    </row>
    <row r="675">
      <c r="G675" s="9"/>
      <c r="I675" s="244"/>
      <c r="J675" s="244"/>
      <c r="K675" s="244"/>
      <c r="U675" s="40"/>
      <c r="V675" s="40"/>
      <c r="W675" s="40"/>
      <c r="X675" s="40"/>
      <c r="Y675" s="40"/>
      <c r="Z675" s="40"/>
      <c r="AA675" s="40"/>
      <c r="AB675" s="40"/>
    </row>
    <row r="676">
      <c r="G676" s="9"/>
      <c r="I676" s="244"/>
      <c r="J676" s="244"/>
      <c r="K676" s="244"/>
      <c r="U676" s="40"/>
      <c r="V676" s="40"/>
      <c r="W676" s="40"/>
      <c r="X676" s="40"/>
      <c r="Y676" s="40"/>
      <c r="Z676" s="40"/>
      <c r="AA676" s="40"/>
      <c r="AB676" s="40"/>
    </row>
    <row r="677">
      <c r="G677" s="9"/>
      <c r="I677" s="244"/>
      <c r="J677" s="244"/>
      <c r="K677" s="244"/>
      <c r="U677" s="40"/>
      <c r="V677" s="40"/>
      <c r="W677" s="40"/>
      <c r="X677" s="40"/>
      <c r="Y677" s="40"/>
      <c r="Z677" s="40"/>
      <c r="AA677" s="40"/>
      <c r="AB677" s="40"/>
    </row>
    <row r="678">
      <c r="G678" s="9"/>
      <c r="I678" s="244"/>
      <c r="J678" s="244"/>
      <c r="K678" s="244"/>
      <c r="U678" s="40"/>
      <c r="V678" s="40"/>
      <c r="W678" s="40"/>
      <c r="X678" s="40"/>
      <c r="Y678" s="40"/>
      <c r="Z678" s="40"/>
      <c r="AA678" s="40"/>
      <c r="AB678" s="40"/>
    </row>
    <row r="679">
      <c r="G679" s="9"/>
      <c r="I679" s="244"/>
      <c r="J679" s="244"/>
      <c r="K679" s="244"/>
      <c r="U679" s="40"/>
      <c r="V679" s="40"/>
      <c r="W679" s="40"/>
      <c r="X679" s="40"/>
      <c r="Y679" s="40"/>
      <c r="Z679" s="40"/>
      <c r="AA679" s="40"/>
      <c r="AB679" s="40"/>
    </row>
    <row r="680">
      <c r="G680" s="9"/>
      <c r="I680" s="244"/>
      <c r="J680" s="244"/>
      <c r="K680" s="244"/>
      <c r="U680" s="40"/>
      <c r="V680" s="40"/>
      <c r="W680" s="40"/>
      <c r="X680" s="40"/>
      <c r="Y680" s="40"/>
      <c r="Z680" s="40"/>
      <c r="AA680" s="40"/>
      <c r="AB680" s="40"/>
    </row>
    <row r="681">
      <c r="G681" s="9"/>
      <c r="I681" s="244"/>
      <c r="J681" s="244"/>
      <c r="K681" s="244"/>
      <c r="U681" s="40"/>
      <c r="V681" s="40"/>
      <c r="W681" s="40"/>
      <c r="X681" s="40"/>
      <c r="Y681" s="40"/>
      <c r="Z681" s="40"/>
      <c r="AA681" s="40"/>
      <c r="AB681" s="40"/>
    </row>
    <row r="682">
      <c r="G682" s="9"/>
      <c r="I682" s="244"/>
      <c r="J682" s="244"/>
      <c r="K682" s="244"/>
      <c r="U682" s="40"/>
      <c r="V682" s="40"/>
      <c r="W682" s="40"/>
      <c r="X682" s="40"/>
      <c r="Y682" s="40"/>
      <c r="Z682" s="40"/>
      <c r="AA682" s="40"/>
      <c r="AB682" s="40"/>
    </row>
    <row r="683">
      <c r="G683" s="9"/>
      <c r="I683" s="244"/>
      <c r="J683" s="244"/>
      <c r="K683" s="244"/>
      <c r="U683" s="40"/>
      <c r="V683" s="40"/>
      <c r="W683" s="40"/>
      <c r="X683" s="40"/>
      <c r="Y683" s="40"/>
      <c r="Z683" s="40"/>
      <c r="AA683" s="40"/>
      <c r="AB683" s="40"/>
    </row>
    <row r="684">
      <c r="G684" s="9"/>
      <c r="I684" s="244"/>
      <c r="J684" s="244"/>
      <c r="K684" s="244"/>
      <c r="U684" s="40"/>
      <c r="V684" s="40"/>
      <c r="W684" s="40"/>
      <c r="X684" s="40"/>
      <c r="Y684" s="40"/>
      <c r="Z684" s="40"/>
      <c r="AA684" s="40"/>
      <c r="AB684" s="40"/>
    </row>
    <row r="685">
      <c r="G685" s="9"/>
      <c r="I685" s="244"/>
      <c r="J685" s="244"/>
      <c r="K685" s="244"/>
      <c r="U685" s="40"/>
      <c r="V685" s="40"/>
      <c r="W685" s="40"/>
      <c r="X685" s="40"/>
      <c r="Y685" s="40"/>
      <c r="Z685" s="40"/>
      <c r="AA685" s="40"/>
      <c r="AB685" s="40"/>
    </row>
    <row r="686">
      <c r="G686" s="9"/>
      <c r="I686" s="244"/>
      <c r="J686" s="244"/>
      <c r="K686" s="244"/>
      <c r="U686" s="40"/>
      <c r="V686" s="40"/>
      <c r="W686" s="40"/>
      <c r="X686" s="40"/>
      <c r="Y686" s="40"/>
      <c r="Z686" s="40"/>
      <c r="AA686" s="40"/>
      <c r="AB686" s="40"/>
    </row>
    <row r="687">
      <c r="G687" s="9"/>
      <c r="I687" s="244"/>
      <c r="J687" s="244"/>
      <c r="K687" s="244"/>
      <c r="U687" s="40"/>
      <c r="V687" s="40"/>
      <c r="W687" s="40"/>
      <c r="X687" s="40"/>
      <c r="Y687" s="40"/>
      <c r="Z687" s="40"/>
      <c r="AA687" s="40"/>
      <c r="AB687" s="40"/>
    </row>
    <row r="688">
      <c r="G688" s="9"/>
      <c r="I688" s="244"/>
      <c r="J688" s="244"/>
      <c r="K688" s="244"/>
      <c r="U688" s="40"/>
      <c r="V688" s="40"/>
      <c r="W688" s="40"/>
      <c r="X688" s="40"/>
      <c r="Y688" s="40"/>
      <c r="Z688" s="40"/>
      <c r="AA688" s="40"/>
      <c r="AB688" s="40"/>
    </row>
    <row r="689">
      <c r="G689" s="9"/>
      <c r="I689" s="244"/>
      <c r="J689" s="244"/>
      <c r="K689" s="244"/>
      <c r="U689" s="40"/>
      <c r="V689" s="40"/>
      <c r="W689" s="40"/>
      <c r="X689" s="40"/>
      <c r="Y689" s="40"/>
      <c r="Z689" s="40"/>
      <c r="AA689" s="40"/>
      <c r="AB689" s="40"/>
    </row>
    <row r="690">
      <c r="G690" s="9"/>
      <c r="I690" s="244"/>
      <c r="J690" s="244"/>
      <c r="K690" s="244"/>
      <c r="U690" s="40"/>
      <c r="V690" s="40"/>
      <c r="W690" s="40"/>
      <c r="X690" s="40"/>
      <c r="Y690" s="40"/>
      <c r="Z690" s="40"/>
      <c r="AA690" s="40"/>
      <c r="AB690" s="40"/>
    </row>
    <row r="691">
      <c r="G691" s="9"/>
      <c r="I691" s="244"/>
      <c r="J691" s="244"/>
      <c r="K691" s="244"/>
      <c r="U691" s="40"/>
      <c r="V691" s="40"/>
      <c r="W691" s="40"/>
      <c r="X691" s="40"/>
      <c r="Y691" s="40"/>
      <c r="Z691" s="40"/>
      <c r="AA691" s="40"/>
      <c r="AB691" s="40"/>
    </row>
    <row r="692">
      <c r="G692" s="9"/>
      <c r="I692" s="244"/>
      <c r="J692" s="244"/>
      <c r="K692" s="244"/>
      <c r="U692" s="40"/>
      <c r="V692" s="40"/>
      <c r="W692" s="40"/>
      <c r="X692" s="40"/>
      <c r="Y692" s="40"/>
      <c r="Z692" s="40"/>
      <c r="AA692" s="40"/>
      <c r="AB692" s="40"/>
    </row>
    <row r="693">
      <c r="G693" s="9"/>
      <c r="I693" s="244"/>
      <c r="J693" s="244"/>
      <c r="K693" s="244"/>
      <c r="U693" s="40"/>
      <c r="V693" s="40"/>
      <c r="W693" s="40"/>
      <c r="X693" s="40"/>
      <c r="Y693" s="40"/>
      <c r="Z693" s="40"/>
      <c r="AA693" s="40"/>
      <c r="AB693" s="40"/>
    </row>
    <row r="694">
      <c r="G694" s="9"/>
      <c r="I694" s="244"/>
      <c r="J694" s="244"/>
      <c r="K694" s="244"/>
      <c r="U694" s="40"/>
      <c r="V694" s="40"/>
      <c r="W694" s="40"/>
      <c r="X694" s="40"/>
      <c r="Y694" s="40"/>
      <c r="Z694" s="40"/>
      <c r="AA694" s="40"/>
      <c r="AB694" s="40"/>
    </row>
    <row r="695">
      <c r="G695" s="9"/>
      <c r="I695" s="244"/>
      <c r="J695" s="244"/>
      <c r="K695" s="244"/>
      <c r="U695" s="40"/>
      <c r="V695" s="40"/>
      <c r="W695" s="40"/>
      <c r="X695" s="40"/>
      <c r="Y695" s="40"/>
      <c r="Z695" s="40"/>
      <c r="AA695" s="40"/>
      <c r="AB695" s="40"/>
    </row>
    <row r="696">
      <c r="G696" s="9"/>
      <c r="I696" s="244"/>
      <c r="J696" s="244"/>
      <c r="K696" s="244"/>
      <c r="U696" s="40"/>
      <c r="V696" s="40"/>
      <c r="W696" s="40"/>
      <c r="X696" s="40"/>
      <c r="Y696" s="40"/>
      <c r="Z696" s="40"/>
      <c r="AA696" s="40"/>
      <c r="AB696" s="40"/>
    </row>
    <row r="697">
      <c r="G697" s="9"/>
      <c r="I697" s="244"/>
      <c r="J697" s="244"/>
      <c r="K697" s="244"/>
      <c r="U697" s="40"/>
      <c r="V697" s="40"/>
      <c r="W697" s="40"/>
      <c r="X697" s="40"/>
      <c r="Y697" s="40"/>
      <c r="Z697" s="40"/>
      <c r="AA697" s="40"/>
      <c r="AB697" s="40"/>
    </row>
    <row r="698">
      <c r="G698" s="9"/>
      <c r="I698" s="244"/>
      <c r="J698" s="244"/>
      <c r="K698" s="244"/>
      <c r="U698" s="40"/>
      <c r="V698" s="40"/>
      <c r="W698" s="40"/>
      <c r="X698" s="40"/>
      <c r="Y698" s="40"/>
      <c r="Z698" s="40"/>
      <c r="AA698" s="40"/>
      <c r="AB698" s="40"/>
    </row>
    <row r="699">
      <c r="G699" s="9"/>
      <c r="I699" s="244"/>
      <c r="J699" s="244"/>
      <c r="K699" s="244"/>
      <c r="U699" s="40"/>
      <c r="V699" s="40"/>
      <c r="W699" s="40"/>
      <c r="X699" s="40"/>
      <c r="Y699" s="40"/>
      <c r="Z699" s="40"/>
      <c r="AA699" s="40"/>
      <c r="AB699" s="40"/>
    </row>
    <row r="700">
      <c r="G700" s="9"/>
      <c r="I700" s="244"/>
      <c r="J700" s="244"/>
      <c r="K700" s="244"/>
      <c r="U700" s="40"/>
      <c r="V700" s="40"/>
      <c r="W700" s="40"/>
      <c r="X700" s="40"/>
      <c r="Y700" s="40"/>
      <c r="Z700" s="40"/>
      <c r="AA700" s="40"/>
      <c r="AB700" s="40"/>
    </row>
    <row r="701">
      <c r="G701" s="9"/>
      <c r="I701" s="244"/>
      <c r="J701" s="244"/>
      <c r="K701" s="244"/>
      <c r="U701" s="40"/>
      <c r="V701" s="40"/>
      <c r="W701" s="40"/>
      <c r="X701" s="40"/>
      <c r="Y701" s="40"/>
      <c r="Z701" s="40"/>
      <c r="AA701" s="40"/>
      <c r="AB701" s="40"/>
    </row>
    <row r="702">
      <c r="G702" s="9"/>
      <c r="I702" s="244"/>
      <c r="J702" s="244"/>
      <c r="K702" s="244"/>
      <c r="U702" s="40"/>
      <c r="V702" s="40"/>
      <c r="W702" s="40"/>
      <c r="X702" s="40"/>
      <c r="Y702" s="40"/>
      <c r="Z702" s="40"/>
      <c r="AA702" s="40"/>
      <c r="AB702" s="40"/>
    </row>
    <row r="703">
      <c r="G703" s="9"/>
      <c r="I703" s="244"/>
      <c r="J703" s="244"/>
      <c r="K703" s="244"/>
      <c r="U703" s="40"/>
      <c r="V703" s="40"/>
      <c r="W703" s="40"/>
      <c r="X703" s="40"/>
      <c r="Y703" s="40"/>
      <c r="Z703" s="40"/>
      <c r="AA703" s="40"/>
      <c r="AB703" s="40"/>
    </row>
    <row r="704">
      <c r="G704" s="9"/>
      <c r="I704" s="244"/>
      <c r="J704" s="244"/>
      <c r="K704" s="244"/>
      <c r="U704" s="40"/>
      <c r="V704" s="40"/>
      <c r="W704" s="40"/>
      <c r="X704" s="40"/>
      <c r="Y704" s="40"/>
      <c r="Z704" s="40"/>
      <c r="AA704" s="40"/>
      <c r="AB704" s="40"/>
    </row>
    <row r="705">
      <c r="G705" s="9"/>
      <c r="I705" s="244"/>
      <c r="J705" s="244"/>
      <c r="K705" s="244"/>
      <c r="U705" s="40"/>
      <c r="V705" s="40"/>
      <c r="W705" s="40"/>
      <c r="X705" s="40"/>
      <c r="Y705" s="40"/>
      <c r="Z705" s="40"/>
      <c r="AA705" s="40"/>
      <c r="AB705" s="40"/>
    </row>
    <row r="706">
      <c r="G706" s="9"/>
      <c r="I706" s="244"/>
      <c r="J706" s="244"/>
      <c r="K706" s="244"/>
      <c r="U706" s="40"/>
      <c r="V706" s="40"/>
      <c r="W706" s="40"/>
      <c r="X706" s="40"/>
      <c r="Y706" s="40"/>
      <c r="Z706" s="40"/>
      <c r="AA706" s="40"/>
      <c r="AB706" s="40"/>
    </row>
    <row r="707">
      <c r="G707" s="9"/>
      <c r="I707" s="244"/>
      <c r="J707" s="244"/>
      <c r="K707" s="244"/>
      <c r="U707" s="40"/>
      <c r="V707" s="40"/>
      <c r="W707" s="40"/>
      <c r="X707" s="40"/>
      <c r="Y707" s="40"/>
      <c r="Z707" s="40"/>
      <c r="AA707" s="40"/>
      <c r="AB707" s="40"/>
    </row>
    <row r="708">
      <c r="G708" s="9"/>
      <c r="I708" s="244"/>
      <c r="J708" s="244"/>
      <c r="K708" s="244"/>
      <c r="U708" s="40"/>
      <c r="V708" s="40"/>
      <c r="W708" s="40"/>
      <c r="X708" s="40"/>
      <c r="Y708" s="40"/>
      <c r="Z708" s="40"/>
      <c r="AA708" s="40"/>
      <c r="AB708" s="40"/>
    </row>
    <row r="709">
      <c r="G709" s="9"/>
      <c r="I709" s="244"/>
      <c r="J709" s="244"/>
      <c r="K709" s="244"/>
      <c r="U709" s="40"/>
      <c r="V709" s="40"/>
      <c r="W709" s="40"/>
      <c r="X709" s="40"/>
      <c r="Y709" s="40"/>
      <c r="Z709" s="40"/>
      <c r="AA709" s="40"/>
      <c r="AB709" s="40"/>
    </row>
    <row r="710">
      <c r="G710" s="9"/>
      <c r="I710" s="244"/>
      <c r="J710" s="244"/>
      <c r="K710" s="244"/>
      <c r="U710" s="40"/>
      <c r="V710" s="40"/>
      <c r="W710" s="40"/>
      <c r="X710" s="40"/>
      <c r="Y710" s="40"/>
      <c r="Z710" s="40"/>
      <c r="AA710" s="40"/>
      <c r="AB710" s="40"/>
    </row>
    <row r="711">
      <c r="G711" s="9"/>
      <c r="I711" s="244"/>
      <c r="J711" s="244"/>
      <c r="K711" s="244"/>
      <c r="U711" s="40"/>
      <c r="V711" s="40"/>
      <c r="W711" s="40"/>
      <c r="X711" s="40"/>
      <c r="Y711" s="40"/>
      <c r="Z711" s="40"/>
      <c r="AA711" s="40"/>
      <c r="AB711" s="40"/>
    </row>
    <row r="712">
      <c r="G712" s="9"/>
      <c r="I712" s="244"/>
      <c r="J712" s="244"/>
      <c r="K712" s="244"/>
      <c r="U712" s="40"/>
      <c r="V712" s="40"/>
      <c r="W712" s="40"/>
      <c r="X712" s="40"/>
      <c r="Y712" s="40"/>
      <c r="Z712" s="40"/>
      <c r="AA712" s="40"/>
      <c r="AB712" s="40"/>
    </row>
    <row r="713">
      <c r="G713" s="9"/>
      <c r="I713" s="244"/>
      <c r="J713" s="244"/>
      <c r="K713" s="244"/>
      <c r="U713" s="40"/>
      <c r="V713" s="40"/>
      <c r="W713" s="40"/>
      <c r="X713" s="40"/>
      <c r="Y713" s="40"/>
      <c r="Z713" s="40"/>
      <c r="AA713" s="40"/>
      <c r="AB713" s="40"/>
    </row>
    <row r="714">
      <c r="G714" s="9"/>
      <c r="I714" s="244"/>
      <c r="J714" s="244"/>
      <c r="K714" s="244"/>
      <c r="U714" s="40"/>
      <c r="V714" s="40"/>
      <c r="W714" s="40"/>
      <c r="X714" s="40"/>
      <c r="Y714" s="40"/>
      <c r="Z714" s="40"/>
      <c r="AA714" s="40"/>
      <c r="AB714" s="40"/>
    </row>
    <row r="715">
      <c r="G715" s="9"/>
      <c r="I715" s="244"/>
      <c r="J715" s="244"/>
      <c r="K715" s="244"/>
      <c r="U715" s="40"/>
      <c r="V715" s="40"/>
      <c r="W715" s="40"/>
      <c r="X715" s="40"/>
      <c r="Y715" s="40"/>
      <c r="Z715" s="40"/>
      <c r="AA715" s="40"/>
      <c r="AB715" s="40"/>
    </row>
    <row r="716">
      <c r="G716" s="9"/>
      <c r="I716" s="244"/>
      <c r="J716" s="244"/>
      <c r="K716" s="244"/>
      <c r="U716" s="40"/>
      <c r="V716" s="40"/>
      <c r="W716" s="40"/>
      <c r="X716" s="40"/>
      <c r="Y716" s="40"/>
      <c r="Z716" s="40"/>
      <c r="AA716" s="40"/>
      <c r="AB716" s="40"/>
    </row>
    <row r="717">
      <c r="G717" s="9"/>
      <c r="I717" s="244"/>
      <c r="J717" s="244"/>
      <c r="K717" s="244"/>
      <c r="U717" s="40"/>
      <c r="V717" s="40"/>
      <c r="W717" s="40"/>
      <c r="X717" s="40"/>
      <c r="Y717" s="40"/>
      <c r="Z717" s="40"/>
      <c r="AA717" s="40"/>
      <c r="AB717" s="40"/>
    </row>
    <row r="718">
      <c r="G718" s="9"/>
      <c r="I718" s="244"/>
      <c r="J718" s="244"/>
      <c r="K718" s="244"/>
      <c r="U718" s="40"/>
      <c r="V718" s="40"/>
      <c r="W718" s="40"/>
      <c r="X718" s="40"/>
      <c r="Y718" s="40"/>
      <c r="Z718" s="40"/>
      <c r="AA718" s="40"/>
      <c r="AB718" s="40"/>
    </row>
    <row r="719">
      <c r="G719" s="9"/>
      <c r="I719" s="244"/>
      <c r="J719" s="244"/>
      <c r="K719" s="244"/>
      <c r="U719" s="40"/>
      <c r="V719" s="40"/>
      <c r="W719" s="40"/>
      <c r="X719" s="40"/>
      <c r="Y719" s="40"/>
      <c r="Z719" s="40"/>
      <c r="AA719" s="40"/>
      <c r="AB719" s="40"/>
    </row>
    <row r="720">
      <c r="G720" s="9"/>
      <c r="I720" s="244"/>
      <c r="J720" s="244"/>
      <c r="K720" s="244"/>
      <c r="U720" s="40"/>
      <c r="V720" s="40"/>
      <c r="W720" s="40"/>
      <c r="X720" s="40"/>
      <c r="Y720" s="40"/>
      <c r="Z720" s="40"/>
      <c r="AA720" s="40"/>
      <c r="AB720" s="40"/>
    </row>
    <row r="721">
      <c r="G721" s="9"/>
      <c r="I721" s="244"/>
      <c r="J721" s="244"/>
      <c r="K721" s="244"/>
      <c r="U721" s="40"/>
      <c r="V721" s="40"/>
      <c r="W721" s="40"/>
      <c r="X721" s="40"/>
      <c r="Y721" s="40"/>
      <c r="Z721" s="40"/>
      <c r="AA721" s="40"/>
      <c r="AB721" s="40"/>
    </row>
    <row r="722">
      <c r="G722" s="9"/>
      <c r="I722" s="244"/>
      <c r="J722" s="244"/>
      <c r="K722" s="244"/>
      <c r="U722" s="40"/>
      <c r="V722" s="40"/>
      <c r="W722" s="40"/>
      <c r="X722" s="40"/>
      <c r="Y722" s="40"/>
      <c r="Z722" s="40"/>
      <c r="AA722" s="40"/>
      <c r="AB722" s="40"/>
    </row>
    <row r="723">
      <c r="G723" s="9"/>
      <c r="I723" s="244"/>
      <c r="J723" s="244"/>
      <c r="K723" s="244"/>
      <c r="U723" s="40"/>
      <c r="V723" s="40"/>
      <c r="W723" s="40"/>
      <c r="X723" s="40"/>
      <c r="Y723" s="40"/>
      <c r="Z723" s="40"/>
      <c r="AA723" s="40"/>
      <c r="AB723" s="40"/>
    </row>
    <row r="724">
      <c r="G724" s="9"/>
      <c r="I724" s="244"/>
      <c r="J724" s="244"/>
      <c r="K724" s="244"/>
      <c r="U724" s="40"/>
      <c r="V724" s="40"/>
      <c r="W724" s="40"/>
      <c r="X724" s="40"/>
      <c r="Y724" s="40"/>
      <c r="Z724" s="40"/>
      <c r="AA724" s="40"/>
      <c r="AB724" s="40"/>
    </row>
    <row r="725">
      <c r="G725" s="9"/>
      <c r="I725" s="244"/>
      <c r="J725" s="244"/>
      <c r="K725" s="244"/>
      <c r="U725" s="40"/>
      <c r="V725" s="40"/>
      <c r="W725" s="40"/>
      <c r="X725" s="40"/>
      <c r="Y725" s="40"/>
      <c r="Z725" s="40"/>
      <c r="AA725" s="40"/>
      <c r="AB725" s="40"/>
    </row>
    <row r="726">
      <c r="G726" s="9"/>
      <c r="I726" s="244"/>
      <c r="J726" s="244"/>
      <c r="K726" s="244"/>
      <c r="U726" s="40"/>
      <c r="V726" s="40"/>
      <c r="W726" s="40"/>
      <c r="X726" s="40"/>
      <c r="Y726" s="40"/>
      <c r="Z726" s="40"/>
      <c r="AA726" s="40"/>
      <c r="AB726" s="40"/>
    </row>
    <row r="727">
      <c r="G727" s="9"/>
      <c r="I727" s="244"/>
      <c r="J727" s="244"/>
      <c r="K727" s="244"/>
      <c r="U727" s="40"/>
      <c r="V727" s="40"/>
      <c r="W727" s="40"/>
      <c r="X727" s="40"/>
      <c r="Y727" s="40"/>
      <c r="Z727" s="40"/>
      <c r="AA727" s="40"/>
      <c r="AB727" s="40"/>
    </row>
    <row r="728">
      <c r="G728" s="9"/>
      <c r="I728" s="244"/>
      <c r="J728" s="244"/>
      <c r="K728" s="244"/>
      <c r="U728" s="40"/>
      <c r="V728" s="40"/>
      <c r="W728" s="40"/>
      <c r="X728" s="40"/>
      <c r="Y728" s="40"/>
      <c r="Z728" s="40"/>
      <c r="AA728" s="40"/>
      <c r="AB728" s="40"/>
    </row>
    <row r="729">
      <c r="G729" s="9"/>
      <c r="I729" s="244"/>
      <c r="J729" s="244"/>
      <c r="K729" s="244"/>
      <c r="U729" s="40"/>
      <c r="V729" s="40"/>
      <c r="W729" s="40"/>
      <c r="X729" s="40"/>
      <c r="Y729" s="40"/>
      <c r="Z729" s="40"/>
      <c r="AA729" s="40"/>
      <c r="AB729" s="40"/>
    </row>
    <row r="730">
      <c r="G730" s="9"/>
      <c r="I730" s="244"/>
      <c r="J730" s="244"/>
      <c r="K730" s="244"/>
      <c r="U730" s="40"/>
      <c r="V730" s="40"/>
      <c r="W730" s="40"/>
      <c r="X730" s="40"/>
      <c r="Y730" s="40"/>
      <c r="Z730" s="40"/>
      <c r="AA730" s="40"/>
      <c r="AB730" s="40"/>
    </row>
    <row r="731">
      <c r="G731" s="9"/>
      <c r="I731" s="244"/>
      <c r="J731" s="244"/>
      <c r="K731" s="244"/>
      <c r="U731" s="40"/>
      <c r="V731" s="40"/>
      <c r="W731" s="40"/>
      <c r="X731" s="40"/>
      <c r="Y731" s="40"/>
      <c r="Z731" s="40"/>
      <c r="AA731" s="40"/>
      <c r="AB731" s="40"/>
    </row>
    <row r="732">
      <c r="G732" s="9"/>
      <c r="I732" s="244"/>
      <c r="J732" s="244"/>
      <c r="K732" s="244"/>
      <c r="U732" s="40"/>
      <c r="V732" s="40"/>
      <c r="W732" s="40"/>
      <c r="X732" s="40"/>
      <c r="Y732" s="40"/>
      <c r="Z732" s="40"/>
      <c r="AA732" s="40"/>
      <c r="AB732" s="40"/>
    </row>
    <row r="733">
      <c r="G733" s="9"/>
      <c r="I733" s="244"/>
      <c r="J733" s="244"/>
      <c r="K733" s="244"/>
      <c r="U733" s="40"/>
      <c r="V733" s="40"/>
      <c r="W733" s="40"/>
      <c r="X733" s="40"/>
      <c r="Y733" s="40"/>
      <c r="Z733" s="40"/>
      <c r="AA733" s="40"/>
      <c r="AB733" s="40"/>
    </row>
    <row r="734">
      <c r="G734" s="9"/>
      <c r="I734" s="244"/>
      <c r="J734" s="244"/>
      <c r="K734" s="244"/>
      <c r="U734" s="40"/>
      <c r="V734" s="40"/>
      <c r="W734" s="40"/>
      <c r="X734" s="40"/>
      <c r="Y734" s="40"/>
      <c r="Z734" s="40"/>
      <c r="AA734" s="40"/>
      <c r="AB734" s="40"/>
    </row>
    <row r="735">
      <c r="G735" s="9"/>
      <c r="I735" s="244"/>
      <c r="J735" s="244"/>
      <c r="K735" s="244"/>
      <c r="U735" s="40"/>
      <c r="V735" s="40"/>
      <c r="W735" s="40"/>
      <c r="X735" s="40"/>
      <c r="Y735" s="40"/>
      <c r="Z735" s="40"/>
      <c r="AA735" s="40"/>
      <c r="AB735" s="40"/>
    </row>
    <row r="736">
      <c r="G736" s="9"/>
      <c r="I736" s="244"/>
      <c r="J736" s="244"/>
      <c r="K736" s="244"/>
      <c r="U736" s="40"/>
      <c r="V736" s="40"/>
      <c r="W736" s="40"/>
      <c r="X736" s="40"/>
      <c r="Y736" s="40"/>
      <c r="Z736" s="40"/>
      <c r="AA736" s="40"/>
      <c r="AB736" s="40"/>
    </row>
    <row r="737">
      <c r="G737" s="9"/>
      <c r="I737" s="244"/>
      <c r="J737" s="244"/>
      <c r="K737" s="244"/>
      <c r="U737" s="40"/>
      <c r="V737" s="40"/>
      <c r="W737" s="40"/>
      <c r="X737" s="40"/>
      <c r="Y737" s="40"/>
      <c r="Z737" s="40"/>
      <c r="AA737" s="40"/>
      <c r="AB737" s="40"/>
    </row>
    <row r="738">
      <c r="G738" s="9"/>
      <c r="I738" s="244"/>
      <c r="J738" s="244"/>
      <c r="K738" s="244"/>
      <c r="U738" s="40"/>
      <c r="V738" s="40"/>
      <c r="W738" s="40"/>
      <c r="X738" s="40"/>
      <c r="Y738" s="40"/>
      <c r="Z738" s="40"/>
      <c r="AA738" s="40"/>
      <c r="AB738" s="40"/>
    </row>
    <row r="739">
      <c r="G739" s="9"/>
      <c r="I739" s="244"/>
      <c r="J739" s="244"/>
      <c r="K739" s="244"/>
      <c r="U739" s="40"/>
      <c r="V739" s="40"/>
      <c r="W739" s="40"/>
      <c r="X739" s="40"/>
      <c r="Y739" s="40"/>
      <c r="Z739" s="40"/>
      <c r="AA739" s="40"/>
      <c r="AB739" s="40"/>
    </row>
    <row r="740">
      <c r="G740" s="9"/>
      <c r="I740" s="244"/>
      <c r="J740" s="244"/>
      <c r="K740" s="244"/>
      <c r="U740" s="40"/>
      <c r="V740" s="40"/>
      <c r="W740" s="40"/>
      <c r="X740" s="40"/>
      <c r="Y740" s="40"/>
      <c r="Z740" s="40"/>
      <c r="AA740" s="40"/>
      <c r="AB740" s="40"/>
    </row>
    <row r="741">
      <c r="G741" s="9"/>
      <c r="I741" s="244"/>
      <c r="J741" s="244"/>
      <c r="K741" s="244"/>
      <c r="U741" s="40"/>
      <c r="V741" s="40"/>
      <c r="W741" s="40"/>
      <c r="X741" s="40"/>
      <c r="Y741" s="40"/>
      <c r="Z741" s="40"/>
      <c r="AA741" s="40"/>
      <c r="AB741" s="40"/>
    </row>
    <row r="742">
      <c r="G742" s="9"/>
      <c r="I742" s="244"/>
      <c r="J742" s="244"/>
      <c r="K742" s="244"/>
      <c r="U742" s="40"/>
      <c r="V742" s="40"/>
      <c r="W742" s="40"/>
      <c r="X742" s="40"/>
      <c r="Y742" s="40"/>
      <c r="Z742" s="40"/>
      <c r="AA742" s="40"/>
      <c r="AB742" s="40"/>
    </row>
    <row r="743">
      <c r="G743" s="9"/>
      <c r="I743" s="244"/>
      <c r="J743" s="244"/>
      <c r="K743" s="244"/>
      <c r="U743" s="40"/>
      <c r="V743" s="40"/>
      <c r="W743" s="40"/>
      <c r="X743" s="40"/>
      <c r="Y743" s="40"/>
      <c r="Z743" s="40"/>
      <c r="AA743" s="40"/>
      <c r="AB743" s="40"/>
    </row>
    <row r="744">
      <c r="G744" s="9"/>
      <c r="I744" s="244"/>
      <c r="J744" s="244"/>
      <c r="K744" s="244"/>
      <c r="U744" s="40"/>
      <c r="V744" s="40"/>
      <c r="W744" s="40"/>
      <c r="X744" s="40"/>
      <c r="Y744" s="40"/>
      <c r="Z744" s="40"/>
      <c r="AA744" s="40"/>
      <c r="AB744" s="40"/>
    </row>
    <row r="745">
      <c r="G745" s="9"/>
      <c r="I745" s="244"/>
      <c r="J745" s="244"/>
      <c r="K745" s="244"/>
      <c r="U745" s="40"/>
      <c r="V745" s="40"/>
      <c r="W745" s="40"/>
      <c r="X745" s="40"/>
      <c r="Y745" s="40"/>
      <c r="Z745" s="40"/>
      <c r="AA745" s="40"/>
      <c r="AB745" s="40"/>
    </row>
    <row r="746">
      <c r="G746" s="9"/>
      <c r="I746" s="244"/>
      <c r="J746" s="244"/>
      <c r="K746" s="244"/>
      <c r="U746" s="40"/>
      <c r="V746" s="40"/>
      <c r="W746" s="40"/>
      <c r="X746" s="40"/>
      <c r="Y746" s="40"/>
      <c r="Z746" s="40"/>
      <c r="AA746" s="40"/>
      <c r="AB746" s="40"/>
    </row>
    <row r="747">
      <c r="G747" s="9"/>
      <c r="I747" s="244"/>
      <c r="J747" s="244"/>
      <c r="K747" s="244"/>
      <c r="U747" s="40"/>
      <c r="V747" s="40"/>
      <c r="W747" s="40"/>
      <c r="X747" s="40"/>
      <c r="Y747" s="40"/>
      <c r="Z747" s="40"/>
      <c r="AA747" s="40"/>
      <c r="AB747" s="40"/>
    </row>
    <row r="748">
      <c r="G748" s="9"/>
      <c r="I748" s="244"/>
      <c r="J748" s="244"/>
      <c r="K748" s="244"/>
      <c r="U748" s="40"/>
      <c r="V748" s="40"/>
      <c r="W748" s="40"/>
      <c r="X748" s="40"/>
      <c r="Y748" s="40"/>
      <c r="Z748" s="40"/>
      <c r="AA748" s="40"/>
      <c r="AB748" s="40"/>
    </row>
    <row r="749">
      <c r="G749" s="9"/>
      <c r="I749" s="244"/>
      <c r="J749" s="244"/>
      <c r="K749" s="244"/>
      <c r="U749" s="40"/>
      <c r="V749" s="40"/>
      <c r="W749" s="40"/>
      <c r="X749" s="40"/>
      <c r="Y749" s="40"/>
      <c r="Z749" s="40"/>
      <c r="AA749" s="40"/>
      <c r="AB749" s="40"/>
    </row>
    <row r="750">
      <c r="G750" s="9"/>
      <c r="I750" s="244"/>
      <c r="J750" s="244"/>
      <c r="K750" s="244"/>
      <c r="U750" s="40"/>
      <c r="V750" s="40"/>
      <c r="W750" s="40"/>
      <c r="X750" s="40"/>
      <c r="Y750" s="40"/>
      <c r="Z750" s="40"/>
      <c r="AA750" s="40"/>
      <c r="AB750" s="40"/>
    </row>
    <row r="751">
      <c r="G751" s="9"/>
      <c r="I751" s="244"/>
      <c r="J751" s="244"/>
      <c r="K751" s="244"/>
      <c r="U751" s="40"/>
      <c r="V751" s="40"/>
      <c r="W751" s="40"/>
      <c r="X751" s="40"/>
      <c r="Y751" s="40"/>
      <c r="Z751" s="40"/>
      <c r="AA751" s="40"/>
      <c r="AB751" s="40"/>
    </row>
    <row r="752">
      <c r="G752" s="9"/>
      <c r="I752" s="244"/>
      <c r="J752" s="244"/>
      <c r="K752" s="244"/>
      <c r="U752" s="40"/>
      <c r="V752" s="40"/>
      <c r="W752" s="40"/>
      <c r="X752" s="40"/>
      <c r="Y752" s="40"/>
      <c r="Z752" s="40"/>
      <c r="AA752" s="40"/>
      <c r="AB752" s="40"/>
    </row>
    <row r="753">
      <c r="G753" s="9"/>
      <c r="I753" s="244"/>
      <c r="J753" s="244"/>
      <c r="K753" s="244"/>
      <c r="U753" s="40"/>
      <c r="V753" s="40"/>
      <c r="W753" s="40"/>
      <c r="X753" s="40"/>
      <c r="Y753" s="40"/>
      <c r="Z753" s="40"/>
      <c r="AA753" s="40"/>
      <c r="AB753" s="40"/>
    </row>
    <row r="754">
      <c r="G754" s="9"/>
      <c r="I754" s="244"/>
      <c r="J754" s="244"/>
      <c r="K754" s="244"/>
      <c r="U754" s="40"/>
      <c r="V754" s="40"/>
      <c r="W754" s="40"/>
      <c r="X754" s="40"/>
      <c r="Y754" s="40"/>
      <c r="Z754" s="40"/>
      <c r="AA754" s="40"/>
      <c r="AB754" s="40"/>
    </row>
    <row r="755">
      <c r="G755" s="9"/>
      <c r="I755" s="244"/>
      <c r="J755" s="244"/>
      <c r="K755" s="244"/>
      <c r="U755" s="40"/>
      <c r="V755" s="40"/>
      <c r="W755" s="40"/>
      <c r="X755" s="40"/>
      <c r="Y755" s="40"/>
      <c r="Z755" s="40"/>
      <c r="AA755" s="40"/>
      <c r="AB755" s="40"/>
    </row>
    <row r="756">
      <c r="G756" s="9"/>
      <c r="I756" s="244"/>
      <c r="J756" s="244"/>
      <c r="K756" s="244"/>
      <c r="U756" s="40"/>
      <c r="V756" s="40"/>
      <c r="W756" s="40"/>
      <c r="X756" s="40"/>
      <c r="Y756" s="40"/>
      <c r="Z756" s="40"/>
      <c r="AA756" s="40"/>
      <c r="AB756" s="40"/>
    </row>
    <row r="757">
      <c r="G757" s="9"/>
      <c r="I757" s="244"/>
      <c r="J757" s="244"/>
      <c r="K757" s="244"/>
      <c r="U757" s="40"/>
      <c r="V757" s="40"/>
      <c r="W757" s="40"/>
      <c r="X757" s="40"/>
      <c r="Y757" s="40"/>
      <c r="Z757" s="40"/>
      <c r="AA757" s="40"/>
      <c r="AB757" s="40"/>
    </row>
    <row r="758">
      <c r="G758" s="9"/>
      <c r="I758" s="244"/>
      <c r="J758" s="244"/>
      <c r="K758" s="244"/>
      <c r="U758" s="40"/>
      <c r="V758" s="40"/>
      <c r="W758" s="40"/>
      <c r="X758" s="40"/>
      <c r="Y758" s="40"/>
      <c r="Z758" s="40"/>
      <c r="AA758" s="40"/>
      <c r="AB758" s="40"/>
    </row>
    <row r="759">
      <c r="G759" s="9"/>
      <c r="I759" s="244"/>
      <c r="J759" s="244"/>
      <c r="K759" s="244"/>
      <c r="U759" s="40"/>
      <c r="V759" s="40"/>
      <c r="W759" s="40"/>
      <c r="X759" s="40"/>
      <c r="Y759" s="40"/>
      <c r="Z759" s="40"/>
      <c r="AA759" s="40"/>
      <c r="AB759" s="40"/>
    </row>
    <row r="760">
      <c r="G760" s="9"/>
      <c r="I760" s="244"/>
      <c r="J760" s="244"/>
      <c r="K760" s="244"/>
      <c r="U760" s="40"/>
      <c r="V760" s="40"/>
      <c r="W760" s="40"/>
      <c r="X760" s="40"/>
      <c r="Y760" s="40"/>
      <c r="Z760" s="40"/>
      <c r="AA760" s="40"/>
      <c r="AB760" s="40"/>
    </row>
    <row r="761">
      <c r="G761" s="9"/>
      <c r="I761" s="244"/>
      <c r="J761" s="244"/>
      <c r="K761" s="244"/>
      <c r="U761" s="40"/>
      <c r="V761" s="40"/>
      <c r="W761" s="40"/>
      <c r="X761" s="40"/>
      <c r="Y761" s="40"/>
      <c r="Z761" s="40"/>
      <c r="AA761" s="40"/>
      <c r="AB761" s="40"/>
    </row>
    <row r="762">
      <c r="G762" s="9"/>
      <c r="I762" s="244"/>
      <c r="J762" s="244"/>
      <c r="K762" s="244"/>
      <c r="U762" s="40"/>
      <c r="V762" s="40"/>
      <c r="W762" s="40"/>
      <c r="X762" s="40"/>
      <c r="Y762" s="40"/>
      <c r="Z762" s="40"/>
      <c r="AA762" s="40"/>
      <c r="AB762" s="40"/>
    </row>
    <row r="763">
      <c r="G763" s="9"/>
      <c r="I763" s="244"/>
      <c r="J763" s="244"/>
      <c r="K763" s="244"/>
      <c r="U763" s="40"/>
      <c r="V763" s="40"/>
      <c r="W763" s="40"/>
      <c r="X763" s="40"/>
      <c r="Y763" s="40"/>
      <c r="Z763" s="40"/>
      <c r="AA763" s="40"/>
      <c r="AB763" s="40"/>
    </row>
    <row r="764">
      <c r="G764" s="9"/>
      <c r="I764" s="244"/>
      <c r="J764" s="244"/>
      <c r="K764" s="244"/>
      <c r="U764" s="40"/>
      <c r="V764" s="40"/>
      <c r="W764" s="40"/>
      <c r="X764" s="40"/>
      <c r="Y764" s="40"/>
      <c r="Z764" s="40"/>
      <c r="AA764" s="40"/>
      <c r="AB764" s="40"/>
    </row>
    <row r="765">
      <c r="G765" s="9"/>
      <c r="I765" s="244"/>
      <c r="J765" s="244"/>
      <c r="K765" s="244"/>
      <c r="U765" s="40"/>
      <c r="V765" s="40"/>
      <c r="W765" s="40"/>
      <c r="X765" s="40"/>
      <c r="Y765" s="40"/>
      <c r="Z765" s="40"/>
      <c r="AA765" s="40"/>
      <c r="AB765" s="40"/>
    </row>
    <row r="766">
      <c r="G766" s="9"/>
      <c r="I766" s="244"/>
      <c r="J766" s="244"/>
      <c r="K766" s="244"/>
      <c r="U766" s="40"/>
      <c r="V766" s="40"/>
      <c r="W766" s="40"/>
      <c r="X766" s="40"/>
      <c r="Y766" s="40"/>
      <c r="Z766" s="40"/>
      <c r="AA766" s="40"/>
      <c r="AB766" s="40"/>
    </row>
    <row r="767">
      <c r="G767" s="9"/>
      <c r="I767" s="244"/>
      <c r="J767" s="244"/>
      <c r="K767" s="244"/>
      <c r="U767" s="40"/>
      <c r="V767" s="40"/>
      <c r="W767" s="40"/>
      <c r="X767" s="40"/>
      <c r="Y767" s="40"/>
      <c r="Z767" s="40"/>
      <c r="AA767" s="40"/>
      <c r="AB767" s="40"/>
    </row>
    <row r="768">
      <c r="G768" s="9"/>
      <c r="I768" s="244"/>
      <c r="J768" s="244"/>
      <c r="K768" s="244"/>
      <c r="U768" s="40"/>
      <c r="V768" s="40"/>
      <c r="W768" s="40"/>
      <c r="X768" s="40"/>
      <c r="Y768" s="40"/>
      <c r="Z768" s="40"/>
      <c r="AA768" s="40"/>
      <c r="AB768" s="40"/>
    </row>
    <row r="769">
      <c r="G769" s="9"/>
      <c r="I769" s="244"/>
      <c r="J769" s="244"/>
      <c r="K769" s="244"/>
      <c r="U769" s="40"/>
      <c r="V769" s="40"/>
      <c r="W769" s="40"/>
      <c r="X769" s="40"/>
      <c r="Y769" s="40"/>
      <c r="Z769" s="40"/>
      <c r="AA769" s="40"/>
      <c r="AB769" s="40"/>
    </row>
    <row r="770">
      <c r="G770" s="9"/>
      <c r="I770" s="244"/>
      <c r="J770" s="244"/>
      <c r="K770" s="244"/>
      <c r="U770" s="40"/>
      <c r="V770" s="40"/>
      <c r="W770" s="40"/>
      <c r="X770" s="40"/>
      <c r="Y770" s="40"/>
      <c r="Z770" s="40"/>
      <c r="AA770" s="40"/>
      <c r="AB770" s="40"/>
    </row>
    <row r="771">
      <c r="G771" s="9"/>
      <c r="I771" s="244"/>
      <c r="J771" s="244"/>
      <c r="K771" s="244"/>
      <c r="U771" s="40"/>
      <c r="V771" s="40"/>
      <c r="W771" s="40"/>
      <c r="X771" s="40"/>
      <c r="Y771" s="40"/>
      <c r="Z771" s="40"/>
      <c r="AA771" s="40"/>
      <c r="AB771" s="40"/>
    </row>
    <row r="772">
      <c r="G772" s="9"/>
      <c r="I772" s="244"/>
      <c r="J772" s="244"/>
      <c r="K772" s="244"/>
      <c r="U772" s="40"/>
      <c r="V772" s="40"/>
      <c r="W772" s="40"/>
      <c r="X772" s="40"/>
      <c r="Y772" s="40"/>
      <c r="Z772" s="40"/>
      <c r="AA772" s="40"/>
      <c r="AB772" s="40"/>
    </row>
    <row r="773">
      <c r="G773" s="9"/>
      <c r="I773" s="244"/>
      <c r="J773" s="244"/>
      <c r="K773" s="244"/>
      <c r="U773" s="40"/>
      <c r="V773" s="40"/>
      <c r="W773" s="40"/>
      <c r="X773" s="40"/>
      <c r="Y773" s="40"/>
      <c r="Z773" s="40"/>
      <c r="AA773" s="40"/>
      <c r="AB773" s="40"/>
    </row>
    <row r="774">
      <c r="G774" s="9"/>
      <c r="I774" s="244"/>
      <c r="J774" s="244"/>
      <c r="K774" s="244"/>
      <c r="U774" s="40"/>
      <c r="V774" s="40"/>
      <c r="W774" s="40"/>
      <c r="X774" s="40"/>
      <c r="Y774" s="40"/>
      <c r="Z774" s="40"/>
      <c r="AA774" s="40"/>
      <c r="AB774" s="40"/>
    </row>
    <row r="775">
      <c r="G775" s="9"/>
      <c r="I775" s="244"/>
      <c r="J775" s="244"/>
      <c r="K775" s="244"/>
      <c r="U775" s="40"/>
      <c r="V775" s="40"/>
      <c r="W775" s="40"/>
      <c r="X775" s="40"/>
      <c r="Y775" s="40"/>
      <c r="Z775" s="40"/>
      <c r="AA775" s="40"/>
      <c r="AB775" s="40"/>
    </row>
    <row r="776">
      <c r="G776" s="9"/>
      <c r="I776" s="244"/>
      <c r="J776" s="244"/>
      <c r="K776" s="244"/>
      <c r="U776" s="40"/>
      <c r="V776" s="40"/>
      <c r="W776" s="40"/>
      <c r="X776" s="40"/>
      <c r="Y776" s="40"/>
      <c r="Z776" s="40"/>
      <c r="AA776" s="40"/>
      <c r="AB776" s="40"/>
    </row>
    <row r="777">
      <c r="G777" s="9"/>
      <c r="I777" s="244"/>
      <c r="J777" s="244"/>
      <c r="K777" s="244"/>
      <c r="U777" s="40"/>
      <c r="V777" s="40"/>
      <c r="W777" s="40"/>
      <c r="X777" s="40"/>
      <c r="Y777" s="40"/>
      <c r="Z777" s="40"/>
      <c r="AA777" s="40"/>
      <c r="AB777" s="40"/>
    </row>
    <row r="778">
      <c r="G778" s="9"/>
      <c r="I778" s="244"/>
      <c r="J778" s="244"/>
      <c r="K778" s="244"/>
      <c r="U778" s="40"/>
      <c r="V778" s="40"/>
      <c r="W778" s="40"/>
      <c r="X778" s="40"/>
      <c r="Y778" s="40"/>
      <c r="Z778" s="40"/>
      <c r="AA778" s="40"/>
      <c r="AB778" s="40"/>
    </row>
    <row r="779">
      <c r="G779" s="9"/>
      <c r="I779" s="244"/>
      <c r="J779" s="244"/>
      <c r="K779" s="244"/>
      <c r="U779" s="40"/>
      <c r="V779" s="40"/>
      <c r="W779" s="40"/>
      <c r="X779" s="40"/>
      <c r="Y779" s="40"/>
      <c r="Z779" s="40"/>
      <c r="AA779" s="40"/>
      <c r="AB779" s="40"/>
    </row>
    <row r="780">
      <c r="G780" s="9"/>
      <c r="I780" s="244"/>
      <c r="J780" s="244"/>
      <c r="K780" s="244"/>
      <c r="U780" s="40"/>
      <c r="V780" s="40"/>
      <c r="W780" s="40"/>
      <c r="X780" s="40"/>
      <c r="Y780" s="40"/>
      <c r="Z780" s="40"/>
      <c r="AA780" s="40"/>
      <c r="AB780" s="40"/>
    </row>
    <row r="781">
      <c r="G781" s="9"/>
      <c r="I781" s="244"/>
      <c r="J781" s="244"/>
      <c r="K781" s="244"/>
      <c r="U781" s="40"/>
      <c r="V781" s="40"/>
      <c r="W781" s="40"/>
      <c r="X781" s="40"/>
      <c r="Y781" s="40"/>
      <c r="Z781" s="40"/>
      <c r="AA781" s="40"/>
      <c r="AB781" s="40"/>
    </row>
    <row r="782">
      <c r="G782" s="9"/>
      <c r="I782" s="244"/>
      <c r="J782" s="244"/>
      <c r="K782" s="244"/>
      <c r="U782" s="40"/>
      <c r="V782" s="40"/>
      <c r="W782" s="40"/>
      <c r="X782" s="40"/>
      <c r="Y782" s="40"/>
      <c r="Z782" s="40"/>
      <c r="AA782" s="40"/>
      <c r="AB782" s="40"/>
    </row>
    <row r="783">
      <c r="G783" s="9"/>
      <c r="I783" s="244"/>
      <c r="J783" s="244"/>
      <c r="K783" s="244"/>
      <c r="U783" s="40"/>
      <c r="V783" s="40"/>
      <c r="W783" s="40"/>
      <c r="X783" s="40"/>
      <c r="Y783" s="40"/>
      <c r="Z783" s="40"/>
      <c r="AA783" s="40"/>
      <c r="AB783" s="40"/>
    </row>
    <row r="784">
      <c r="G784" s="9"/>
      <c r="I784" s="244"/>
      <c r="J784" s="244"/>
      <c r="K784" s="244"/>
      <c r="U784" s="40"/>
      <c r="V784" s="40"/>
      <c r="W784" s="40"/>
      <c r="X784" s="40"/>
      <c r="Y784" s="40"/>
      <c r="Z784" s="40"/>
      <c r="AA784" s="40"/>
      <c r="AB784" s="40"/>
    </row>
    <row r="785">
      <c r="G785" s="9"/>
      <c r="I785" s="244"/>
      <c r="J785" s="244"/>
      <c r="K785" s="244"/>
      <c r="U785" s="40"/>
      <c r="V785" s="40"/>
      <c r="W785" s="40"/>
      <c r="X785" s="40"/>
      <c r="Y785" s="40"/>
      <c r="Z785" s="40"/>
      <c r="AA785" s="40"/>
      <c r="AB785" s="40"/>
    </row>
    <row r="786">
      <c r="G786" s="9"/>
      <c r="I786" s="244"/>
      <c r="J786" s="244"/>
      <c r="K786" s="244"/>
      <c r="U786" s="40"/>
      <c r="V786" s="40"/>
      <c r="W786" s="40"/>
      <c r="X786" s="40"/>
      <c r="Y786" s="40"/>
      <c r="Z786" s="40"/>
      <c r="AA786" s="40"/>
      <c r="AB786" s="40"/>
    </row>
    <row r="787">
      <c r="G787" s="9"/>
      <c r="I787" s="244"/>
      <c r="J787" s="244"/>
      <c r="K787" s="244"/>
      <c r="U787" s="40"/>
      <c r="V787" s="40"/>
      <c r="W787" s="40"/>
      <c r="X787" s="40"/>
      <c r="Y787" s="40"/>
      <c r="Z787" s="40"/>
      <c r="AA787" s="40"/>
      <c r="AB787" s="40"/>
    </row>
    <row r="788">
      <c r="G788" s="9"/>
      <c r="I788" s="244"/>
      <c r="J788" s="244"/>
      <c r="K788" s="244"/>
      <c r="U788" s="40"/>
      <c r="V788" s="40"/>
      <c r="W788" s="40"/>
      <c r="X788" s="40"/>
      <c r="Y788" s="40"/>
      <c r="Z788" s="40"/>
      <c r="AA788" s="40"/>
      <c r="AB788" s="40"/>
    </row>
    <row r="789">
      <c r="G789" s="9"/>
      <c r="I789" s="244"/>
      <c r="J789" s="244"/>
      <c r="K789" s="244"/>
      <c r="U789" s="40"/>
      <c r="V789" s="40"/>
      <c r="W789" s="40"/>
      <c r="X789" s="40"/>
      <c r="Y789" s="40"/>
      <c r="Z789" s="40"/>
      <c r="AA789" s="40"/>
      <c r="AB789" s="40"/>
    </row>
    <row r="790">
      <c r="G790" s="9"/>
      <c r="I790" s="244"/>
      <c r="J790" s="244"/>
      <c r="K790" s="244"/>
      <c r="U790" s="40"/>
      <c r="V790" s="40"/>
      <c r="W790" s="40"/>
      <c r="X790" s="40"/>
      <c r="Y790" s="40"/>
      <c r="Z790" s="40"/>
      <c r="AA790" s="40"/>
      <c r="AB790" s="40"/>
    </row>
    <row r="791">
      <c r="G791" s="9"/>
      <c r="I791" s="244"/>
      <c r="J791" s="244"/>
      <c r="K791" s="244"/>
      <c r="U791" s="40"/>
      <c r="V791" s="40"/>
      <c r="W791" s="40"/>
      <c r="X791" s="40"/>
      <c r="Y791" s="40"/>
      <c r="Z791" s="40"/>
      <c r="AA791" s="40"/>
      <c r="AB791" s="40"/>
    </row>
    <row r="792">
      <c r="G792" s="9"/>
      <c r="I792" s="244"/>
      <c r="J792" s="244"/>
      <c r="K792" s="244"/>
      <c r="U792" s="40"/>
      <c r="V792" s="40"/>
      <c r="W792" s="40"/>
      <c r="X792" s="40"/>
      <c r="Y792" s="40"/>
      <c r="Z792" s="40"/>
      <c r="AA792" s="40"/>
      <c r="AB792" s="40"/>
    </row>
    <row r="793">
      <c r="G793" s="9"/>
      <c r="I793" s="244"/>
      <c r="J793" s="244"/>
      <c r="K793" s="244"/>
      <c r="U793" s="40"/>
      <c r="V793" s="40"/>
      <c r="W793" s="40"/>
      <c r="X793" s="40"/>
      <c r="Y793" s="40"/>
      <c r="Z793" s="40"/>
      <c r="AA793" s="40"/>
      <c r="AB793" s="40"/>
    </row>
    <row r="794">
      <c r="G794" s="9"/>
      <c r="I794" s="244"/>
      <c r="J794" s="244"/>
      <c r="K794" s="244"/>
      <c r="U794" s="40"/>
      <c r="V794" s="40"/>
      <c r="W794" s="40"/>
      <c r="X794" s="40"/>
      <c r="Y794" s="40"/>
      <c r="Z794" s="40"/>
      <c r="AA794" s="40"/>
      <c r="AB794" s="40"/>
    </row>
    <row r="795">
      <c r="G795" s="9"/>
      <c r="I795" s="244"/>
      <c r="J795" s="244"/>
      <c r="K795" s="244"/>
      <c r="U795" s="40"/>
      <c r="V795" s="40"/>
      <c r="W795" s="40"/>
      <c r="X795" s="40"/>
      <c r="Y795" s="40"/>
      <c r="Z795" s="40"/>
      <c r="AA795" s="40"/>
      <c r="AB795" s="40"/>
    </row>
    <row r="796">
      <c r="G796" s="9"/>
      <c r="I796" s="244"/>
      <c r="J796" s="244"/>
      <c r="K796" s="244"/>
      <c r="U796" s="40"/>
      <c r="V796" s="40"/>
      <c r="W796" s="40"/>
      <c r="X796" s="40"/>
      <c r="Y796" s="40"/>
      <c r="Z796" s="40"/>
      <c r="AA796" s="40"/>
      <c r="AB796" s="40"/>
    </row>
    <row r="797">
      <c r="G797" s="9"/>
      <c r="I797" s="244"/>
      <c r="J797" s="244"/>
      <c r="K797" s="244"/>
      <c r="U797" s="40"/>
      <c r="V797" s="40"/>
      <c r="W797" s="40"/>
      <c r="X797" s="40"/>
      <c r="Y797" s="40"/>
      <c r="Z797" s="40"/>
      <c r="AA797" s="40"/>
      <c r="AB797" s="40"/>
    </row>
    <row r="798">
      <c r="G798" s="9"/>
      <c r="I798" s="244"/>
      <c r="J798" s="244"/>
      <c r="K798" s="244"/>
      <c r="U798" s="40"/>
      <c r="V798" s="40"/>
      <c r="W798" s="40"/>
      <c r="X798" s="40"/>
      <c r="Y798" s="40"/>
      <c r="Z798" s="40"/>
      <c r="AA798" s="40"/>
      <c r="AB798" s="40"/>
    </row>
    <row r="799">
      <c r="G799" s="9"/>
      <c r="I799" s="244"/>
      <c r="J799" s="244"/>
      <c r="K799" s="244"/>
      <c r="U799" s="40"/>
      <c r="V799" s="40"/>
      <c r="W799" s="40"/>
      <c r="X799" s="40"/>
      <c r="Y799" s="40"/>
      <c r="Z799" s="40"/>
      <c r="AA799" s="40"/>
      <c r="AB799" s="40"/>
    </row>
    <row r="800">
      <c r="G800" s="9"/>
      <c r="I800" s="244"/>
      <c r="J800" s="244"/>
      <c r="K800" s="244"/>
      <c r="U800" s="40"/>
      <c r="V800" s="40"/>
      <c r="W800" s="40"/>
      <c r="X800" s="40"/>
      <c r="Y800" s="40"/>
      <c r="Z800" s="40"/>
      <c r="AA800" s="40"/>
      <c r="AB800" s="40"/>
    </row>
    <row r="801">
      <c r="G801" s="9"/>
      <c r="I801" s="244"/>
      <c r="J801" s="244"/>
      <c r="K801" s="244"/>
      <c r="U801" s="40"/>
      <c r="V801" s="40"/>
      <c r="W801" s="40"/>
      <c r="X801" s="40"/>
      <c r="Y801" s="40"/>
      <c r="Z801" s="40"/>
      <c r="AA801" s="40"/>
      <c r="AB801" s="40"/>
    </row>
    <row r="802">
      <c r="G802" s="9"/>
      <c r="I802" s="244"/>
      <c r="J802" s="244"/>
      <c r="K802" s="244"/>
      <c r="U802" s="40"/>
      <c r="V802" s="40"/>
      <c r="W802" s="40"/>
      <c r="X802" s="40"/>
      <c r="Y802" s="40"/>
      <c r="Z802" s="40"/>
      <c r="AA802" s="40"/>
      <c r="AB802" s="40"/>
    </row>
    <row r="803">
      <c r="G803" s="9"/>
      <c r="I803" s="244"/>
      <c r="J803" s="244"/>
      <c r="K803" s="244"/>
      <c r="U803" s="40"/>
      <c r="V803" s="40"/>
      <c r="W803" s="40"/>
      <c r="X803" s="40"/>
      <c r="Y803" s="40"/>
      <c r="Z803" s="40"/>
      <c r="AA803" s="40"/>
      <c r="AB803" s="40"/>
    </row>
    <row r="804">
      <c r="G804" s="9"/>
      <c r="I804" s="244"/>
      <c r="J804" s="244"/>
      <c r="K804" s="244"/>
      <c r="U804" s="40"/>
      <c r="V804" s="40"/>
      <c r="W804" s="40"/>
      <c r="X804" s="40"/>
      <c r="Y804" s="40"/>
      <c r="Z804" s="40"/>
      <c r="AA804" s="40"/>
      <c r="AB804" s="40"/>
    </row>
    <row r="805">
      <c r="G805" s="9"/>
      <c r="I805" s="244"/>
      <c r="J805" s="244"/>
      <c r="K805" s="244"/>
      <c r="U805" s="40"/>
      <c r="V805" s="40"/>
      <c r="W805" s="40"/>
      <c r="X805" s="40"/>
      <c r="Y805" s="40"/>
      <c r="Z805" s="40"/>
      <c r="AA805" s="40"/>
      <c r="AB805" s="40"/>
    </row>
    <row r="806">
      <c r="G806" s="9"/>
      <c r="I806" s="244"/>
      <c r="J806" s="244"/>
      <c r="K806" s="244"/>
      <c r="U806" s="40"/>
      <c r="V806" s="40"/>
      <c r="W806" s="40"/>
      <c r="X806" s="40"/>
      <c r="Y806" s="40"/>
      <c r="Z806" s="40"/>
      <c r="AA806" s="40"/>
      <c r="AB806" s="40"/>
    </row>
    <row r="807">
      <c r="G807" s="9"/>
      <c r="I807" s="244"/>
      <c r="J807" s="244"/>
      <c r="K807" s="244"/>
      <c r="U807" s="40"/>
      <c r="V807" s="40"/>
      <c r="W807" s="40"/>
      <c r="X807" s="40"/>
      <c r="Y807" s="40"/>
      <c r="Z807" s="40"/>
      <c r="AA807" s="40"/>
      <c r="AB807" s="40"/>
    </row>
    <row r="808">
      <c r="G808" s="9"/>
      <c r="I808" s="244"/>
      <c r="J808" s="244"/>
      <c r="K808" s="244"/>
      <c r="U808" s="40"/>
      <c r="V808" s="40"/>
      <c r="W808" s="40"/>
      <c r="X808" s="40"/>
      <c r="Y808" s="40"/>
      <c r="Z808" s="40"/>
      <c r="AA808" s="40"/>
      <c r="AB808" s="40"/>
    </row>
    <row r="809">
      <c r="G809" s="9"/>
      <c r="I809" s="244"/>
      <c r="J809" s="244"/>
      <c r="K809" s="244"/>
      <c r="U809" s="40"/>
      <c r="V809" s="40"/>
      <c r="W809" s="40"/>
      <c r="X809" s="40"/>
      <c r="Y809" s="40"/>
      <c r="Z809" s="40"/>
      <c r="AA809" s="40"/>
      <c r="AB809" s="40"/>
    </row>
    <row r="810">
      <c r="G810" s="9"/>
      <c r="I810" s="244"/>
      <c r="J810" s="244"/>
      <c r="K810" s="244"/>
      <c r="U810" s="40"/>
      <c r="V810" s="40"/>
      <c r="W810" s="40"/>
      <c r="X810" s="40"/>
      <c r="Y810" s="40"/>
      <c r="Z810" s="40"/>
      <c r="AA810" s="40"/>
      <c r="AB810" s="40"/>
    </row>
    <row r="811">
      <c r="G811" s="9"/>
      <c r="I811" s="244"/>
      <c r="J811" s="244"/>
      <c r="K811" s="244"/>
      <c r="U811" s="40"/>
      <c r="V811" s="40"/>
      <c r="W811" s="40"/>
      <c r="X811" s="40"/>
      <c r="Y811" s="40"/>
      <c r="Z811" s="40"/>
      <c r="AA811" s="40"/>
      <c r="AB811" s="40"/>
    </row>
    <row r="812">
      <c r="G812" s="9"/>
      <c r="I812" s="244"/>
      <c r="J812" s="244"/>
      <c r="K812" s="244"/>
      <c r="U812" s="40"/>
      <c r="V812" s="40"/>
      <c r="W812" s="40"/>
      <c r="X812" s="40"/>
      <c r="Y812" s="40"/>
      <c r="Z812" s="40"/>
      <c r="AA812" s="40"/>
      <c r="AB812" s="40"/>
    </row>
    <row r="813">
      <c r="G813" s="9"/>
      <c r="I813" s="244"/>
      <c r="J813" s="244"/>
      <c r="K813" s="244"/>
      <c r="U813" s="40"/>
      <c r="V813" s="40"/>
      <c r="W813" s="40"/>
      <c r="X813" s="40"/>
      <c r="Y813" s="40"/>
      <c r="Z813" s="40"/>
      <c r="AA813" s="40"/>
      <c r="AB813" s="40"/>
    </row>
    <row r="814">
      <c r="G814" s="9"/>
      <c r="I814" s="244"/>
      <c r="J814" s="244"/>
      <c r="K814" s="244"/>
      <c r="U814" s="40"/>
      <c r="V814" s="40"/>
      <c r="W814" s="40"/>
      <c r="X814" s="40"/>
      <c r="Y814" s="40"/>
      <c r="Z814" s="40"/>
      <c r="AA814" s="40"/>
      <c r="AB814" s="40"/>
    </row>
    <row r="815">
      <c r="G815" s="9"/>
      <c r="I815" s="244"/>
      <c r="J815" s="244"/>
      <c r="K815" s="244"/>
      <c r="U815" s="40"/>
      <c r="V815" s="40"/>
      <c r="W815" s="40"/>
      <c r="X815" s="40"/>
      <c r="Y815" s="40"/>
      <c r="Z815" s="40"/>
      <c r="AA815" s="40"/>
      <c r="AB815" s="40"/>
    </row>
    <row r="816">
      <c r="G816" s="9"/>
      <c r="I816" s="244"/>
      <c r="J816" s="244"/>
      <c r="K816" s="244"/>
      <c r="U816" s="40"/>
      <c r="V816" s="40"/>
      <c r="W816" s="40"/>
      <c r="X816" s="40"/>
      <c r="Y816" s="40"/>
      <c r="Z816" s="40"/>
      <c r="AA816" s="40"/>
      <c r="AB816" s="40"/>
    </row>
    <row r="817">
      <c r="G817" s="9"/>
      <c r="I817" s="244"/>
      <c r="J817" s="244"/>
      <c r="K817" s="244"/>
      <c r="U817" s="40"/>
      <c r="V817" s="40"/>
      <c r="W817" s="40"/>
      <c r="X817" s="40"/>
      <c r="Y817" s="40"/>
      <c r="Z817" s="40"/>
      <c r="AA817" s="40"/>
      <c r="AB817" s="40"/>
    </row>
    <row r="818">
      <c r="G818" s="9"/>
      <c r="I818" s="244"/>
      <c r="J818" s="244"/>
      <c r="K818" s="244"/>
      <c r="U818" s="40"/>
      <c r="V818" s="40"/>
      <c r="W818" s="40"/>
      <c r="X818" s="40"/>
      <c r="Y818" s="40"/>
      <c r="Z818" s="40"/>
      <c r="AA818" s="40"/>
      <c r="AB818" s="40"/>
    </row>
    <row r="819">
      <c r="G819" s="9"/>
      <c r="I819" s="244"/>
      <c r="J819" s="244"/>
      <c r="K819" s="244"/>
      <c r="U819" s="40"/>
      <c r="V819" s="40"/>
      <c r="W819" s="40"/>
      <c r="X819" s="40"/>
      <c r="Y819" s="40"/>
      <c r="Z819" s="40"/>
      <c r="AA819" s="40"/>
      <c r="AB819" s="40"/>
    </row>
    <row r="820">
      <c r="G820" s="9"/>
      <c r="I820" s="244"/>
      <c r="J820" s="244"/>
      <c r="K820" s="244"/>
      <c r="U820" s="40"/>
      <c r="V820" s="40"/>
      <c r="W820" s="40"/>
      <c r="X820" s="40"/>
      <c r="Y820" s="40"/>
      <c r="Z820" s="40"/>
      <c r="AA820" s="40"/>
      <c r="AB820" s="40"/>
    </row>
    <row r="821">
      <c r="G821" s="9"/>
      <c r="I821" s="244"/>
      <c r="J821" s="244"/>
      <c r="K821" s="244"/>
      <c r="U821" s="40"/>
      <c r="V821" s="40"/>
      <c r="W821" s="40"/>
      <c r="X821" s="40"/>
      <c r="Y821" s="40"/>
      <c r="Z821" s="40"/>
      <c r="AA821" s="40"/>
      <c r="AB821" s="40"/>
    </row>
    <row r="822">
      <c r="G822" s="9"/>
      <c r="I822" s="244"/>
      <c r="J822" s="244"/>
      <c r="K822" s="244"/>
      <c r="U822" s="40"/>
      <c r="V822" s="40"/>
      <c r="W822" s="40"/>
      <c r="X822" s="40"/>
      <c r="Y822" s="40"/>
      <c r="Z822" s="40"/>
      <c r="AA822" s="40"/>
      <c r="AB822" s="40"/>
    </row>
    <row r="823">
      <c r="G823" s="9"/>
      <c r="I823" s="244"/>
      <c r="J823" s="244"/>
      <c r="K823" s="244"/>
      <c r="U823" s="40"/>
      <c r="V823" s="40"/>
      <c r="W823" s="40"/>
      <c r="X823" s="40"/>
      <c r="Y823" s="40"/>
      <c r="Z823" s="40"/>
      <c r="AA823" s="40"/>
      <c r="AB823" s="40"/>
    </row>
    <row r="824">
      <c r="G824" s="9"/>
      <c r="I824" s="244"/>
      <c r="J824" s="244"/>
      <c r="K824" s="244"/>
      <c r="U824" s="40"/>
      <c r="V824" s="40"/>
      <c r="W824" s="40"/>
      <c r="X824" s="40"/>
      <c r="Y824" s="40"/>
      <c r="Z824" s="40"/>
      <c r="AA824" s="40"/>
      <c r="AB824" s="40"/>
    </row>
    <row r="825">
      <c r="G825" s="9"/>
      <c r="I825" s="244"/>
      <c r="J825" s="244"/>
      <c r="K825" s="244"/>
      <c r="U825" s="40"/>
      <c r="V825" s="40"/>
      <c r="W825" s="40"/>
      <c r="X825" s="40"/>
      <c r="Y825" s="40"/>
      <c r="Z825" s="40"/>
      <c r="AA825" s="40"/>
      <c r="AB825" s="40"/>
    </row>
    <row r="826">
      <c r="G826" s="9"/>
      <c r="I826" s="244"/>
      <c r="J826" s="244"/>
      <c r="K826" s="244"/>
      <c r="U826" s="40"/>
      <c r="V826" s="40"/>
      <c r="W826" s="40"/>
      <c r="X826" s="40"/>
      <c r="Y826" s="40"/>
      <c r="Z826" s="40"/>
      <c r="AA826" s="40"/>
      <c r="AB826" s="40"/>
    </row>
    <row r="827">
      <c r="G827" s="9"/>
      <c r="I827" s="244"/>
      <c r="J827" s="244"/>
      <c r="K827" s="244"/>
      <c r="U827" s="40"/>
      <c r="V827" s="40"/>
      <c r="W827" s="40"/>
      <c r="X827" s="40"/>
      <c r="Y827" s="40"/>
      <c r="Z827" s="40"/>
      <c r="AA827" s="40"/>
      <c r="AB827" s="40"/>
    </row>
    <row r="828">
      <c r="G828" s="9"/>
      <c r="I828" s="244"/>
      <c r="J828" s="244"/>
      <c r="K828" s="244"/>
      <c r="U828" s="40"/>
      <c r="V828" s="40"/>
      <c r="W828" s="40"/>
      <c r="X828" s="40"/>
      <c r="Y828" s="40"/>
      <c r="Z828" s="40"/>
      <c r="AA828" s="40"/>
      <c r="AB828" s="40"/>
    </row>
    <row r="829">
      <c r="G829" s="9"/>
      <c r="I829" s="244"/>
      <c r="J829" s="244"/>
      <c r="K829" s="244"/>
      <c r="U829" s="40"/>
      <c r="V829" s="40"/>
      <c r="W829" s="40"/>
      <c r="X829" s="40"/>
      <c r="Y829" s="40"/>
      <c r="Z829" s="40"/>
      <c r="AA829" s="40"/>
      <c r="AB829" s="40"/>
    </row>
    <row r="830">
      <c r="G830" s="9"/>
      <c r="I830" s="244"/>
      <c r="J830" s="244"/>
      <c r="K830" s="244"/>
      <c r="U830" s="40"/>
      <c r="V830" s="40"/>
      <c r="W830" s="40"/>
      <c r="X830" s="40"/>
      <c r="Y830" s="40"/>
      <c r="Z830" s="40"/>
      <c r="AA830" s="40"/>
      <c r="AB830" s="40"/>
    </row>
    <row r="831">
      <c r="G831" s="9"/>
      <c r="I831" s="244"/>
      <c r="J831" s="244"/>
      <c r="K831" s="244"/>
      <c r="U831" s="40"/>
      <c r="V831" s="40"/>
      <c r="W831" s="40"/>
      <c r="X831" s="40"/>
      <c r="Y831" s="40"/>
      <c r="Z831" s="40"/>
      <c r="AA831" s="40"/>
      <c r="AB831" s="40"/>
    </row>
    <row r="832">
      <c r="G832" s="9"/>
      <c r="I832" s="244"/>
      <c r="J832" s="244"/>
      <c r="K832" s="244"/>
      <c r="U832" s="40"/>
      <c r="V832" s="40"/>
      <c r="W832" s="40"/>
      <c r="X832" s="40"/>
      <c r="Y832" s="40"/>
      <c r="Z832" s="40"/>
      <c r="AA832" s="40"/>
      <c r="AB832" s="40"/>
    </row>
    <row r="833">
      <c r="G833" s="9"/>
      <c r="I833" s="244"/>
      <c r="J833" s="244"/>
      <c r="K833" s="244"/>
      <c r="U833" s="40"/>
      <c r="V833" s="40"/>
      <c r="W833" s="40"/>
      <c r="X833" s="40"/>
      <c r="Y833" s="40"/>
      <c r="Z833" s="40"/>
      <c r="AA833" s="40"/>
      <c r="AB833" s="40"/>
    </row>
    <row r="834">
      <c r="G834" s="9"/>
      <c r="I834" s="244"/>
      <c r="J834" s="244"/>
      <c r="K834" s="244"/>
      <c r="U834" s="40"/>
      <c r="V834" s="40"/>
      <c r="W834" s="40"/>
      <c r="X834" s="40"/>
      <c r="Y834" s="40"/>
      <c r="Z834" s="40"/>
      <c r="AA834" s="40"/>
      <c r="AB834" s="40"/>
    </row>
    <row r="835">
      <c r="G835" s="9"/>
      <c r="I835" s="244"/>
      <c r="J835" s="244"/>
      <c r="K835" s="244"/>
      <c r="U835" s="40"/>
      <c r="V835" s="40"/>
      <c r="W835" s="40"/>
      <c r="X835" s="40"/>
      <c r="Y835" s="40"/>
      <c r="Z835" s="40"/>
      <c r="AA835" s="40"/>
      <c r="AB835" s="40"/>
    </row>
    <row r="836">
      <c r="G836" s="9"/>
      <c r="I836" s="244"/>
      <c r="J836" s="244"/>
      <c r="K836" s="244"/>
      <c r="U836" s="40"/>
      <c r="V836" s="40"/>
      <c r="W836" s="40"/>
      <c r="X836" s="40"/>
      <c r="Y836" s="40"/>
      <c r="Z836" s="40"/>
      <c r="AA836" s="40"/>
      <c r="AB836" s="40"/>
    </row>
    <row r="837">
      <c r="G837" s="9"/>
      <c r="I837" s="244"/>
      <c r="J837" s="244"/>
      <c r="K837" s="244"/>
      <c r="U837" s="40"/>
      <c r="V837" s="40"/>
      <c r="W837" s="40"/>
      <c r="X837" s="40"/>
      <c r="Y837" s="40"/>
      <c r="Z837" s="40"/>
      <c r="AA837" s="40"/>
      <c r="AB837" s="40"/>
    </row>
    <row r="838">
      <c r="G838" s="9"/>
      <c r="I838" s="244"/>
      <c r="J838" s="244"/>
      <c r="K838" s="244"/>
      <c r="U838" s="40"/>
      <c r="V838" s="40"/>
      <c r="W838" s="40"/>
      <c r="X838" s="40"/>
      <c r="Y838" s="40"/>
      <c r="Z838" s="40"/>
      <c r="AA838" s="40"/>
      <c r="AB838" s="40"/>
    </row>
    <row r="839">
      <c r="G839" s="9"/>
      <c r="I839" s="244"/>
      <c r="J839" s="244"/>
      <c r="K839" s="244"/>
      <c r="U839" s="40"/>
      <c r="V839" s="40"/>
      <c r="W839" s="40"/>
      <c r="X839" s="40"/>
      <c r="Y839" s="40"/>
      <c r="Z839" s="40"/>
      <c r="AA839" s="40"/>
      <c r="AB839" s="40"/>
    </row>
    <row r="840">
      <c r="G840" s="9"/>
      <c r="I840" s="244"/>
      <c r="J840" s="244"/>
      <c r="K840" s="244"/>
      <c r="U840" s="40"/>
      <c r="V840" s="40"/>
      <c r="W840" s="40"/>
      <c r="X840" s="40"/>
      <c r="Y840" s="40"/>
      <c r="Z840" s="40"/>
      <c r="AA840" s="40"/>
      <c r="AB840" s="40"/>
    </row>
    <row r="841">
      <c r="G841" s="9"/>
      <c r="I841" s="244"/>
      <c r="J841" s="244"/>
      <c r="K841" s="244"/>
      <c r="U841" s="40"/>
      <c r="V841" s="40"/>
      <c r="W841" s="40"/>
      <c r="X841" s="40"/>
      <c r="Y841" s="40"/>
      <c r="Z841" s="40"/>
      <c r="AA841" s="40"/>
      <c r="AB841" s="40"/>
    </row>
    <row r="842">
      <c r="G842" s="9"/>
      <c r="I842" s="244"/>
      <c r="J842" s="244"/>
      <c r="K842" s="244"/>
      <c r="U842" s="40"/>
      <c r="V842" s="40"/>
      <c r="W842" s="40"/>
      <c r="X842" s="40"/>
      <c r="Y842" s="40"/>
      <c r="Z842" s="40"/>
      <c r="AA842" s="40"/>
      <c r="AB842" s="40"/>
    </row>
    <row r="843">
      <c r="G843" s="9"/>
      <c r="I843" s="244"/>
      <c r="J843" s="244"/>
      <c r="K843" s="244"/>
      <c r="U843" s="40"/>
      <c r="V843" s="40"/>
      <c r="W843" s="40"/>
      <c r="X843" s="40"/>
      <c r="Y843" s="40"/>
      <c r="Z843" s="40"/>
      <c r="AA843" s="40"/>
      <c r="AB843" s="40"/>
    </row>
    <row r="844">
      <c r="G844" s="9"/>
      <c r="I844" s="244"/>
      <c r="J844" s="244"/>
      <c r="K844" s="244"/>
      <c r="U844" s="40"/>
      <c r="V844" s="40"/>
      <c r="W844" s="40"/>
      <c r="X844" s="40"/>
      <c r="Y844" s="40"/>
      <c r="Z844" s="40"/>
      <c r="AA844" s="40"/>
      <c r="AB844" s="40"/>
    </row>
    <row r="845">
      <c r="G845" s="9"/>
      <c r="I845" s="244"/>
      <c r="J845" s="244"/>
      <c r="K845" s="244"/>
      <c r="U845" s="40"/>
      <c r="V845" s="40"/>
      <c r="W845" s="40"/>
      <c r="X845" s="40"/>
      <c r="Y845" s="40"/>
      <c r="Z845" s="40"/>
      <c r="AA845" s="40"/>
      <c r="AB845" s="40"/>
    </row>
    <row r="846">
      <c r="G846" s="9"/>
      <c r="I846" s="244"/>
      <c r="J846" s="244"/>
      <c r="K846" s="244"/>
      <c r="U846" s="40"/>
      <c r="V846" s="40"/>
      <c r="W846" s="40"/>
      <c r="X846" s="40"/>
      <c r="Y846" s="40"/>
      <c r="Z846" s="40"/>
      <c r="AA846" s="40"/>
      <c r="AB846" s="40"/>
    </row>
    <row r="847">
      <c r="G847" s="9"/>
      <c r="I847" s="244"/>
      <c r="J847" s="244"/>
      <c r="K847" s="244"/>
      <c r="U847" s="40"/>
      <c r="V847" s="40"/>
      <c r="W847" s="40"/>
      <c r="X847" s="40"/>
      <c r="Y847" s="40"/>
      <c r="Z847" s="40"/>
      <c r="AA847" s="40"/>
      <c r="AB847" s="40"/>
    </row>
    <row r="848">
      <c r="G848" s="9"/>
      <c r="I848" s="244"/>
      <c r="J848" s="244"/>
      <c r="K848" s="244"/>
      <c r="U848" s="40"/>
      <c r="V848" s="40"/>
      <c r="W848" s="40"/>
      <c r="X848" s="40"/>
      <c r="Y848" s="40"/>
      <c r="Z848" s="40"/>
      <c r="AA848" s="40"/>
      <c r="AB848" s="40"/>
    </row>
    <row r="849">
      <c r="G849" s="9"/>
      <c r="I849" s="244"/>
      <c r="J849" s="244"/>
      <c r="K849" s="244"/>
      <c r="U849" s="40"/>
      <c r="V849" s="40"/>
      <c r="W849" s="40"/>
      <c r="X849" s="40"/>
      <c r="Y849" s="40"/>
      <c r="Z849" s="40"/>
      <c r="AA849" s="40"/>
      <c r="AB849" s="40"/>
    </row>
    <row r="850">
      <c r="G850" s="9"/>
      <c r="I850" s="244"/>
      <c r="J850" s="244"/>
      <c r="K850" s="244"/>
      <c r="U850" s="40"/>
      <c r="V850" s="40"/>
      <c r="W850" s="40"/>
      <c r="X850" s="40"/>
      <c r="Y850" s="40"/>
      <c r="Z850" s="40"/>
      <c r="AA850" s="40"/>
      <c r="AB850" s="40"/>
    </row>
    <row r="851">
      <c r="G851" s="9"/>
      <c r="I851" s="244"/>
      <c r="J851" s="244"/>
      <c r="K851" s="244"/>
      <c r="U851" s="40"/>
      <c r="V851" s="40"/>
      <c r="W851" s="40"/>
      <c r="X851" s="40"/>
      <c r="Y851" s="40"/>
      <c r="Z851" s="40"/>
      <c r="AA851" s="40"/>
      <c r="AB851" s="40"/>
    </row>
    <row r="852">
      <c r="G852" s="9"/>
      <c r="I852" s="244"/>
      <c r="J852" s="244"/>
      <c r="K852" s="244"/>
      <c r="U852" s="40"/>
      <c r="V852" s="40"/>
      <c r="W852" s="40"/>
      <c r="X852" s="40"/>
      <c r="Y852" s="40"/>
      <c r="Z852" s="40"/>
      <c r="AA852" s="40"/>
      <c r="AB852" s="40"/>
    </row>
    <row r="853">
      <c r="G853" s="9"/>
      <c r="I853" s="244"/>
      <c r="J853" s="244"/>
      <c r="K853" s="244"/>
      <c r="U853" s="40"/>
      <c r="V853" s="40"/>
      <c r="W853" s="40"/>
      <c r="X853" s="40"/>
      <c r="Y853" s="40"/>
      <c r="Z853" s="40"/>
      <c r="AA853" s="40"/>
      <c r="AB853" s="40"/>
    </row>
    <row r="854">
      <c r="G854" s="9"/>
      <c r="I854" s="244"/>
      <c r="J854" s="244"/>
      <c r="K854" s="244"/>
      <c r="U854" s="40"/>
      <c r="V854" s="40"/>
      <c r="W854" s="40"/>
      <c r="X854" s="40"/>
      <c r="Y854" s="40"/>
      <c r="Z854" s="40"/>
      <c r="AA854" s="40"/>
      <c r="AB854" s="40"/>
    </row>
    <row r="855">
      <c r="G855" s="9"/>
      <c r="I855" s="244"/>
      <c r="J855" s="244"/>
      <c r="K855" s="244"/>
      <c r="U855" s="40"/>
      <c r="V855" s="40"/>
      <c r="W855" s="40"/>
      <c r="X855" s="40"/>
      <c r="Y855" s="40"/>
      <c r="Z855" s="40"/>
      <c r="AA855" s="40"/>
      <c r="AB855" s="40"/>
    </row>
    <row r="856">
      <c r="G856" s="9"/>
      <c r="I856" s="244"/>
      <c r="J856" s="244"/>
      <c r="K856" s="244"/>
      <c r="U856" s="40"/>
      <c r="V856" s="40"/>
      <c r="W856" s="40"/>
      <c r="X856" s="40"/>
      <c r="Y856" s="40"/>
      <c r="Z856" s="40"/>
      <c r="AA856" s="40"/>
      <c r="AB856" s="40"/>
    </row>
    <row r="857">
      <c r="G857" s="9"/>
      <c r="I857" s="244"/>
      <c r="J857" s="244"/>
      <c r="K857" s="244"/>
      <c r="U857" s="40"/>
      <c r="V857" s="40"/>
      <c r="W857" s="40"/>
      <c r="X857" s="40"/>
      <c r="Y857" s="40"/>
      <c r="Z857" s="40"/>
      <c r="AA857" s="40"/>
      <c r="AB857" s="40"/>
    </row>
    <row r="858">
      <c r="G858" s="9"/>
      <c r="I858" s="244"/>
      <c r="J858" s="244"/>
      <c r="K858" s="244"/>
      <c r="U858" s="40"/>
      <c r="V858" s="40"/>
      <c r="W858" s="40"/>
      <c r="X858" s="40"/>
      <c r="Y858" s="40"/>
      <c r="Z858" s="40"/>
      <c r="AA858" s="40"/>
      <c r="AB858" s="40"/>
    </row>
    <row r="859">
      <c r="G859" s="9"/>
      <c r="I859" s="244"/>
      <c r="J859" s="244"/>
      <c r="K859" s="244"/>
      <c r="U859" s="40"/>
      <c r="V859" s="40"/>
      <c r="W859" s="40"/>
      <c r="X859" s="40"/>
      <c r="Y859" s="40"/>
      <c r="Z859" s="40"/>
      <c r="AA859" s="40"/>
      <c r="AB859" s="40"/>
    </row>
    <row r="860">
      <c r="G860" s="9"/>
      <c r="I860" s="244"/>
      <c r="J860" s="244"/>
      <c r="K860" s="244"/>
      <c r="U860" s="40"/>
      <c r="V860" s="40"/>
      <c r="W860" s="40"/>
      <c r="X860" s="40"/>
      <c r="Y860" s="40"/>
      <c r="Z860" s="40"/>
      <c r="AA860" s="40"/>
      <c r="AB860" s="40"/>
    </row>
    <row r="861">
      <c r="G861" s="9"/>
      <c r="I861" s="244"/>
      <c r="J861" s="244"/>
      <c r="K861" s="244"/>
      <c r="U861" s="40"/>
      <c r="V861" s="40"/>
      <c r="W861" s="40"/>
      <c r="X861" s="40"/>
      <c r="Y861" s="40"/>
      <c r="Z861" s="40"/>
      <c r="AA861" s="40"/>
      <c r="AB861" s="40"/>
    </row>
    <row r="862">
      <c r="G862" s="9"/>
      <c r="I862" s="244"/>
      <c r="J862" s="244"/>
      <c r="K862" s="244"/>
      <c r="U862" s="40"/>
      <c r="V862" s="40"/>
      <c r="W862" s="40"/>
      <c r="X862" s="40"/>
      <c r="Y862" s="40"/>
      <c r="Z862" s="40"/>
      <c r="AA862" s="40"/>
      <c r="AB862" s="40"/>
    </row>
    <row r="863">
      <c r="G863" s="9"/>
      <c r="I863" s="244"/>
      <c r="J863" s="244"/>
      <c r="K863" s="244"/>
      <c r="U863" s="40"/>
      <c r="V863" s="40"/>
      <c r="W863" s="40"/>
      <c r="X863" s="40"/>
      <c r="Y863" s="40"/>
      <c r="Z863" s="40"/>
      <c r="AA863" s="40"/>
      <c r="AB863" s="40"/>
    </row>
    <row r="864">
      <c r="G864" s="9"/>
      <c r="I864" s="244"/>
      <c r="J864" s="244"/>
      <c r="K864" s="244"/>
      <c r="U864" s="40"/>
      <c r="V864" s="40"/>
      <c r="W864" s="40"/>
      <c r="X864" s="40"/>
      <c r="Y864" s="40"/>
      <c r="Z864" s="40"/>
      <c r="AA864" s="40"/>
      <c r="AB864" s="40"/>
    </row>
    <row r="865">
      <c r="G865" s="9"/>
      <c r="I865" s="244"/>
      <c r="J865" s="244"/>
      <c r="K865" s="244"/>
      <c r="U865" s="40"/>
      <c r="V865" s="40"/>
      <c r="W865" s="40"/>
      <c r="X865" s="40"/>
      <c r="Y865" s="40"/>
      <c r="Z865" s="40"/>
      <c r="AA865" s="40"/>
      <c r="AB865" s="40"/>
    </row>
    <row r="866">
      <c r="G866" s="9"/>
      <c r="I866" s="244"/>
      <c r="J866" s="244"/>
      <c r="K866" s="244"/>
      <c r="U866" s="40"/>
      <c r="V866" s="40"/>
      <c r="W866" s="40"/>
      <c r="X866" s="40"/>
      <c r="Y866" s="40"/>
      <c r="Z866" s="40"/>
      <c r="AA866" s="40"/>
      <c r="AB866" s="40"/>
    </row>
    <row r="867">
      <c r="G867" s="9"/>
      <c r="I867" s="244"/>
      <c r="J867" s="244"/>
      <c r="K867" s="244"/>
      <c r="U867" s="40"/>
      <c r="V867" s="40"/>
      <c r="W867" s="40"/>
      <c r="X867" s="40"/>
      <c r="Y867" s="40"/>
      <c r="Z867" s="40"/>
      <c r="AA867" s="40"/>
      <c r="AB867" s="40"/>
    </row>
    <row r="868">
      <c r="G868" s="9"/>
      <c r="I868" s="244"/>
      <c r="J868" s="244"/>
      <c r="K868" s="244"/>
      <c r="U868" s="40"/>
      <c r="V868" s="40"/>
      <c r="W868" s="40"/>
      <c r="X868" s="40"/>
      <c r="Y868" s="40"/>
      <c r="Z868" s="40"/>
      <c r="AA868" s="40"/>
      <c r="AB868" s="40"/>
    </row>
    <row r="869">
      <c r="G869" s="9"/>
      <c r="I869" s="244"/>
      <c r="J869" s="244"/>
      <c r="K869" s="244"/>
      <c r="U869" s="40"/>
      <c r="V869" s="40"/>
      <c r="W869" s="40"/>
      <c r="X869" s="40"/>
      <c r="Y869" s="40"/>
      <c r="Z869" s="40"/>
      <c r="AA869" s="40"/>
      <c r="AB869" s="40"/>
    </row>
    <row r="870">
      <c r="G870" s="9"/>
      <c r="I870" s="244"/>
      <c r="J870" s="244"/>
      <c r="K870" s="244"/>
      <c r="U870" s="40"/>
      <c r="V870" s="40"/>
      <c r="W870" s="40"/>
      <c r="X870" s="40"/>
      <c r="Y870" s="40"/>
      <c r="Z870" s="40"/>
      <c r="AA870" s="40"/>
      <c r="AB870" s="40"/>
    </row>
    <row r="871">
      <c r="G871" s="9"/>
      <c r="I871" s="244"/>
      <c r="J871" s="244"/>
      <c r="K871" s="244"/>
      <c r="U871" s="40"/>
      <c r="V871" s="40"/>
      <c r="W871" s="40"/>
      <c r="X871" s="40"/>
      <c r="Y871" s="40"/>
      <c r="Z871" s="40"/>
      <c r="AA871" s="40"/>
      <c r="AB871" s="40"/>
    </row>
    <row r="872">
      <c r="G872" s="9"/>
      <c r="I872" s="244"/>
      <c r="J872" s="244"/>
      <c r="K872" s="244"/>
      <c r="U872" s="40"/>
      <c r="V872" s="40"/>
      <c r="W872" s="40"/>
      <c r="X872" s="40"/>
      <c r="Y872" s="40"/>
      <c r="Z872" s="40"/>
      <c r="AA872" s="40"/>
      <c r="AB872" s="40"/>
    </row>
    <row r="873">
      <c r="G873" s="9"/>
      <c r="I873" s="244"/>
      <c r="J873" s="244"/>
      <c r="K873" s="244"/>
      <c r="U873" s="40"/>
      <c r="V873" s="40"/>
      <c r="W873" s="40"/>
      <c r="X873" s="40"/>
      <c r="Y873" s="40"/>
      <c r="Z873" s="40"/>
      <c r="AA873" s="40"/>
      <c r="AB873" s="40"/>
    </row>
    <row r="874">
      <c r="G874" s="9"/>
      <c r="I874" s="244"/>
      <c r="J874" s="244"/>
      <c r="K874" s="244"/>
      <c r="U874" s="40"/>
      <c r="V874" s="40"/>
      <c r="W874" s="40"/>
      <c r="X874" s="40"/>
      <c r="Y874" s="40"/>
      <c r="Z874" s="40"/>
      <c r="AA874" s="40"/>
      <c r="AB874" s="40"/>
    </row>
    <row r="875">
      <c r="G875" s="9"/>
      <c r="I875" s="244"/>
      <c r="J875" s="244"/>
      <c r="K875" s="244"/>
      <c r="U875" s="40"/>
      <c r="V875" s="40"/>
      <c r="W875" s="40"/>
      <c r="X875" s="40"/>
      <c r="Y875" s="40"/>
      <c r="Z875" s="40"/>
      <c r="AA875" s="40"/>
      <c r="AB875" s="40"/>
    </row>
    <row r="876">
      <c r="G876" s="9"/>
      <c r="I876" s="244"/>
      <c r="J876" s="244"/>
      <c r="K876" s="244"/>
      <c r="U876" s="40"/>
      <c r="V876" s="40"/>
      <c r="W876" s="40"/>
      <c r="X876" s="40"/>
      <c r="Y876" s="40"/>
      <c r="Z876" s="40"/>
      <c r="AA876" s="40"/>
      <c r="AB876" s="40"/>
    </row>
    <row r="877">
      <c r="G877" s="9"/>
      <c r="I877" s="244"/>
      <c r="J877" s="244"/>
      <c r="K877" s="244"/>
      <c r="U877" s="40"/>
      <c r="V877" s="40"/>
      <c r="W877" s="40"/>
      <c r="X877" s="40"/>
      <c r="Y877" s="40"/>
      <c r="Z877" s="40"/>
      <c r="AA877" s="40"/>
      <c r="AB877" s="40"/>
    </row>
    <row r="878">
      <c r="G878" s="9"/>
      <c r="I878" s="244"/>
      <c r="J878" s="244"/>
      <c r="K878" s="244"/>
      <c r="U878" s="40"/>
      <c r="V878" s="40"/>
      <c r="W878" s="40"/>
      <c r="X878" s="40"/>
      <c r="Y878" s="40"/>
      <c r="Z878" s="40"/>
      <c r="AA878" s="40"/>
      <c r="AB878" s="40"/>
    </row>
    <row r="879">
      <c r="G879" s="9"/>
      <c r="I879" s="244"/>
      <c r="J879" s="244"/>
      <c r="K879" s="244"/>
      <c r="U879" s="40"/>
      <c r="V879" s="40"/>
      <c r="W879" s="40"/>
      <c r="X879" s="40"/>
      <c r="Y879" s="40"/>
      <c r="Z879" s="40"/>
      <c r="AA879" s="40"/>
      <c r="AB879" s="40"/>
    </row>
    <row r="880">
      <c r="G880" s="9"/>
      <c r="I880" s="244"/>
      <c r="J880" s="244"/>
      <c r="K880" s="244"/>
      <c r="U880" s="40"/>
      <c r="V880" s="40"/>
      <c r="W880" s="40"/>
      <c r="X880" s="40"/>
      <c r="Y880" s="40"/>
      <c r="Z880" s="40"/>
      <c r="AA880" s="40"/>
      <c r="AB880" s="40"/>
    </row>
    <row r="881">
      <c r="G881" s="9"/>
      <c r="I881" s="244"/>
      <c r="J881" s="244"/>
      <c r="K881" s="244"/>
      <c r="U881" s="40"/>
      <c r="V881" s="40"/>
      <c r="W881" s="40"/>
      <c r="X881" s="40"/>
      <c r="Y881" s="40"/>
      <c r="Z881" s="40"/>
      <c r="AA881" s="40"/>
      <c r="AB881" s="40"/>
    </row>
    <row r="882">
      <c r="G882" s="9"/>
      <c r="I882" s="244"/>
      <c r="J882" s="244"/>
      <c r="K882" s="244"/>
      <c r="U882" s="40"/>
      <c r="V882" s="40"/>
      <c r="W882" s="40"/>
      <c r="X882" s="40"/>
      <c r="Y882" s="40"/>
      <c r="Z882" s="40"/>
      <c r="AA882" s="40"/>
      <c r="AB882" s="40"/>
    </row>
    <row r="883">
      <c r="G883" s="9"/>
      <c r="I883" s="244"/>
      <c r="J883" s="244"/>
      <c r="K883" s="244"/>
      <c r="U883" s="40"/>
      <c r="V883" s="40"/>
      <c r="W883" s="40"/>
      <c r="X883" s="40"/>
      <c r="Y883" s="40"/>
      <c r="Z883" s="40"/>
      <c r="AA883" s="40"/>
      <c r="AB883" s="40"/>
    </row>
    <row r="884">
      <c r="G884" s="9"/>
      <c r="I884" s="244"/>
      <c r="J884" s="244"/>
      <c r="K884" s="244"/>
      <c r="U884" s="40"/>
      <c r="V884" s="40"/>
      <c r="W884" s="40"/>
      <c r="X884" s="40"/>
      <c r="Y884" s="40"/>
      <c r="Z884" s="40"/>
      <c r="AA884" s="40"/>
      <c r="AB884" s="40"/>
    </row>
    <row r="885">
      <c r="G885" s="9"/>
      <c r="I885" s="244"/>
      <c r="J885" s="244"/>
      <c r="K885" s="244"/>
      <c r="U885" s="40"/>
      <c r="V885" s="40"/>
      <c r="W885" s="40"/>
      <c r="X885" s="40"/>
      <c r="Y885" s="40"/>
      <c r="Z885" s="40"/>
      <c r="AA885" s="40"/>
      <c r="AB885" s="40"/>
    </row>
    <row r="886">
      <c r="G886" s="9"/>
      <c r="I886" s="244"/>
      <c r="J886" s="244"/>
      <c r="K886" s="244"/>
      <c r="U886" s="40"/>
      <c r="V886" s="40"/>
      <c r="W886" s="40"/>
      <c r="X886" s="40"/>
      <c r="Y886" s="40"/>
      <c r="Z886" s="40"/>
      <c r="AA886" s="40"/>
      <c r="AB886" s="40"/>
    </row>
    <row r="887">
      <c r="G887" s="9"/>
      <c r="I887" s="244"/>
      <c r="J887" s="244"/>
      <c r="K887" s="244"/>
      <c r="U887" s="40"/>
      <c r="V887" s="40"/>
      <c r="W887" s="40"/>
      <c r="X887" s="40"/>
      <c r="Y887" s="40"/>
      <c r="Z887" s="40"/>
      <c r="AA887" s="40"/>
      <c r="AB887" s="40"/>
    </row>
    <row r="888">
      <c r="G888" s="9"/>
      <c r="I888" s="244"/>
      <c r="J888" s="244"/>
      <c r="K888" s="244"/>
      <c r="U888" s="40"/>
      <c r="V888" s="40"/>
      <c r="W888" s="40"/>
      <c r="X888" s="40"/>
      <c r="Y888" s="40"/>
      <c r="Z888" s="40"/>
      <c r="AA888" s="40"/>
      <c r="AB888" s="40"/>
    </row>
    <row r="889">
      <c r="G889" s="9"/>
      <c r="I889" s="244"/>
      <c r="J889" s="244"/>
      <c r="K889" s="244"/>
      <c r="U889" s="40"/>
      <c r="V889" s="40"/>
      <c r="W889" s="40"/>
      <c r="X889" s="40"/>
      <c r="Y889" s="40"/>
      <c r="Z889" s="40"/>
      <c r="AA889" s="40"/>
      <c r="AB889" s="40"/>
    </row>
    <row r="890">
      <c r="G890" s="9"/>
      <c r="I890" s="244"/>
      <c r="J890" s="244"/>
      <c r="K890" s="244"/>
      <c r="U890" s="40"/>
      <c r="V890" s="40"/>
      <c r="W890" s="40"/>
      <c r="X890" s="40"/>
      <c r="Y890" s="40"/>
      <c r="Z890" s="40"/>
      <c r="AA890" s="40"/>
      <c r="AB890" s="40"/>
    </row>
    <row r="891">
      <c r="G891" s="9"/>
      <c r="I891" s="244"/>
      <c r="J891" s="244"/>
      <c r="K891" s="244"/>
      <c r="U891" s="40"/>
      <c r="V891" s="40"/>
      <c r="W891" s="40"/>
      <c r="X891" s="40"/>
      <c r="Y891" s="40"/>
      <c r="Z891" s="40"/>
      <c r="AA891" s="40"/>
      <c r="AB891" s="40"/>
    </row>
    <row r="892">
      <c r="G892" s="9"/>
      <c r="I892" s="244"/>
      <c r="J892" s="244"/>
      <c r="K892" s="244"/>
      <c r="U892" s="40"/>
      <c r="V892" s="40"/>
      <c r="W892" s="40"/>
      <c r="X892" s="40"/>
      <c r="Y892" s="40"/>
      <c r="Z892" s="40"/>
      <c r="AA892" s="40"/>
      <c r="AB892" s="40"/>
    </row>
    <row r="893">
      <c r="G893" s="9"/>
      <c r="I893" s="244"/>
      <c r="J893" s="244"/>
      <c r="K893" s="244"/>
      <c r="U893" s="40"/>
      <c r="V893" s="40"/>
      <c r="W893" s="40"/>
      <c r="X893" s="40"/>
      <c r="Y893" s="40"/>
      <c r="Z893" s="40"/>
      <c r="AA893" s="40"/>
      <c r="AB893" s="40"/>
    </row>
    <row r="894">
      <c r="G894" s="9"/>
      <c r="I894" s="244"/>
      <c r="J894" s="244"/>
      <c r="K894" s="244"/>
      <c r="U894" s="40"/>
      <c r="V894" s="40"/>
      <c r="W894" s="40"/>
      <c r="X894" s="40"/>
      <c r="Y894" s="40"/>
      <c r="Z894" s="40"/>
      <c r="AA894" s="40"/>
      <c r="AB894" s="40"/>
    </row>
    <row r="895">
      <c r="G895" s="9"/>
      <c r="I895" s="244"/>
      <c r="J895" s="244"/>
      <c r="K895" s="244"/>
      <c r="U895" s="40"/>
      <c r="V895" s="40"/>
      <c r="W895" s="40"/>
      <c r="X895" s="40"/>
      <c r="Y895" s="40"/>
      <c r="Z895" s="40"/>
      <c r="AA895" s="40"/>
      <c r="AB895" s="40"/>
    </row>
    <row r="896">
      <c r="G896" s="9"/>
      <c r="I896" s="244"/>
      <c r="J896" s="244"/>
      <c r="K896" s="244"/>
      <c r="U896" s="40"/>
      <c r="V896" s="40"/>
      <c r="W896" s="40"/>
      <c r="X896" s="40"/>
      <c r="Y896" s="40"/>
      <c r="Z896" s="40"/>
      <c r="AA896" s="40"/>
      <c r="AB896" s="40"/>
    </row>
    <row r="897">
      <c r="G897" s="9"/>
      <c r="I897" s="244"/>
      <c r="J897" s="244"/>
      <c r="K897" s="244"/>
      <c r="U897" s="40"/>
      <c r="V897" s="40"/>
      <c r="W897" s="40"/>
      <c r="X897" s="40"/>
      <c r="Y897" s="40"/>
      <c r="Z897" s="40"/>
      <c r="AA897" s="40"/>
      <c r="AB897" s="40"/>
    </row>
    <row r="898">
      <c r="G898" s="9"/>
      <c r="I898" s="244"/>
      <c r="J898" s="244"/>
      <c r="K898" s="244"/>
      <c r="U898" s="40"/>
      <c r="V898" s="40"/>
      <c r="W898" s="40"/>
      <c r="X898" s="40"/>
      <c r="Y898" s="40"/>
      <c r="Z898" s="40"/>
      <c r="AA898" s="40"/>
      <c r="AB898" s="40"/>
    </row>
    <row r="899">
      <c r="G899" s="9"/>
      <c r="I899" s="244"/>
      <c r="J899" s="244"/>
      <c r="K899" s="244"/>
      <c r="U899" s="40"/>
      <c r="V899" s="40"/>
      <c r="W899" s="40"/>
      <c r="X899" s="40"/>
      <c r="Y899" s="40"/>
      <c r="Z899" s="40"/>
      <c r="AA899" s="40"/>
      <c r="AB899" s="40"/>
    </row>
    <row r="900">
      <c r="G900" s="9"/>
      <c r="I900" s="244"/>
      <c r="J900" s="244"/>
      <c r="K900" s="244"/>
      <c r="U900" s="40"/>
      <c r="V900" s="40"/>
      <c r="W900" s="40"/>
      <c r="X900" s="40"/>
      <c r="Y900" s="40"/>
      <c r="Z900" s="40"/>
      <c r="AA900" s="40"/>
      <c r="AB900" s="40"/>
    </row>
    <row r="901">
      <c r="G901" s="9"/>
      <c r="I901" s="244"/>
      <c r="J901" s="244"/>
      <c r="K901" s="244"/>
      <c r="U901" s="40"/>
      <c r="V901" s="40"/>
      <c r="W901" s="40"/>
      <c r="X901" s="40"/>
      <c r="Y901" s="40"/>
      <c r="Z901" s="40"/>
      <c r="AA901" s="40"/>
      <c r="AB901" s="40"/>
    </row>
    <row r="902">
      <c r="G902" s="9"/>
      <c r="I902" s="244"/>
      <c r="J902" s="244"/>
      <c r="K902" s="244"/>
      <c r="U902" s="40"/>
      <c r="V902" s="40"/>
      <c r="W902" s="40"/>
      <c r="X902" s="40"/>
      <c r="Y902" s="40"/>
      <c r="Z902" s="40"/>
      <c r="AA902" s="40"/>
      <c r="AB902" s="40"/>
    </row>
    <row r="903">
      <c r="G903" s="9"/>
      <c r="I903" s="244"/>
      <c r="J903" s="244"/>
      <c r="K903" s="244"/>
      <c r="U903" s="40"/>
      <c r="V903" s="40"/>
      <c r="W903" s="40"/>
      <c r="X903" s="40"/>
      <c r="Y903" s="40"/>
      <c r="Z903" s="40"/>
      <c r="AA903" s="40"/>
      <c r="AB903" s="40"/>
    </row>
    <row r="904">
      <c r="G904" s="9"/>
      <c r="I904" s="244"/>
      <c r="J904" s="244"/>
      <c r="K904" s="244"/>
      <c r="U904" s="40"/>
      <c r="V904" s="40"/>
      <c r="W904" s="40"/>
      <c r="X904" s="40"/>
      <c r="Y904" s="40"/>
      <c r="Z904" s="40"/>
      <c r="AA904" s="40"/>
      <c r="AB904" s="40"/>
    </row>
    <row r="905">
      <c r="G905" s="9"/>
      <c r="I905" s="244"/>
      <c r="J905" s="244"/>
      <c r="K905" s="244"/>
      <c r="U905" s="40"/>
      <c r="V905" s="40"/>
      <c r="W905" s="40"/>
      <c r="X905" s="40"/>
      <c r="Y905" s="40"/>
      <c r="Z905" s="40"/>
      <c r="AA905" s="40"/>
      <c r="AB905" s="40"/>
    </row>
    <row r="906">
      <c r="G906" s="9"/>
      <c r="I906" s="244"/>
      <c r="J906" s="244"/>
      <c r="K906" s="244"/>
      <c r="U906" s="40"/>
      <c r="V906" s="40"/>
      <c r="W906" s="40"/>
      <c r="X906" s="40"/>
      <c r="Y906" s="40"/>
      <c r="Z906" s="40"/>
      <c r="AA906" s="40"/>
      <c r="AB906" s="40"/>
    </row>
    <row r="907">
      <c r="G907" s="9"/>
      <c r="I907" s="244"/>
      <c r="J907" s="244"/>
      <c r="K907" s="244"/>
      <c r="U907" s="40"/>
      <c r="V907" s="40"/>
      <c r="W907" s="40"/>
      <c r="X907" s="40"/>
      <c r="Y907" s="40"/>
      <c r="Z907" s="40"/>
      <c r="AA907" s="40"/>
      <c r="AB907" s="40"/>
    </row>
    <row r="908">
      <c r="G908" s="9"/>
      <c r="I908" s="244"/>
      <c r="J908" s="244"/>
      <c r="K908" s="244"/>
      <c r="U908" s="40"/>
      <c r="V908" s="40"/>
      <c r="W908" s="40"/>
      <c r="X908" s="40"/>
      <c r="Y908" s="40"/>
      <c r="Z908" s="40"/>
      <c r="AA908" s="40"/>
      <c r="AB908" s="40"/>
    </row>
    <row r="909">
      <c r="G909" s="9"/>
      <c r="I909" s="244"/>
      <c r="J909" s="244"/>
      <c r="K909" s="244"/>
      <c r="U909" s="40"/>
      <c r="V909" s="40"/>
      <c r="W909" s="40"/>
      <c r="X909" s="40"/>
      <c r="Y909" s="40"/>
      <c r="Z909" s="40"/>
      <c r="AA909" s="40"/>
      <c r="AB909" s="40"/>
    </row>
    <row r="910">
      <c r="G910" s="9"/>
      <c r="I910" s="244"/>
      <c r="J910" s="244"/>
      <c r="K910" s="244"/>
      <c r="U910" s="40"/>
      <c r="V910" s="40"/>
      <c r="W910" s="40"/>
      <c r="X910" s="40"/>
      <c r="Y910" s="40"/>
      <c r="Z910" s="40"/>
      <c r="AA910" s="40"/>
      <c r="AB910" s="40"/>
    </row>
    <row r="911">
      <c r="G911" s="9"/>
      <c r="I911" s="244"/>
      <c r="J911" s="244"/>
      <c r="K911" s="244"/>
      <c r="U911" s="40"/>
      <c r="V911" s="40"/>
      <c r="W911" s="40"/>
      <c r="X911" s="40"/>
      <c r="Y911" s="40"/>
      <c r="Z911" s="40"/>
      <c r="AA911" s="40"/>
      <c r="AB911" s="40"/>
    </row>
    <row r="912">
      <c r="G912" s="9"/>
      <c r="I912" s="244"/>
      <c r="J912" s="244"/>
      <c r="K912" s="244"/>
      <c r="U912" s="40"/>
      <c r="V912" s="40"/>
      <c r="W912" s="40"/>
      <c r="X912" s="40"/>
      <c r="Y912" s="40"/>
      <c r="Z912" s="40"/>
      <c r="AA912" s="40"/>
      <c r="AB912" s="40"/>
    </row>
    <row r="913">
      <c r="G913" s="9"/>
      <c r="I913" s="244"/>
      <c r="J913" s="244"/>
      <c r="K913" s="244"/>
      <c r="U913" s="40"/>
      <c r="V913" s="40"/>
      <c r="W913" s="40"/>
      <c r="X913" s="40"/>
      <c r="Y913" s="40"/>
      <c r="Z913" s="40"/>
      <c r="AA913" s="40"/>
      <c r="AB913" s="40"/>
    </row>
    <row r="914">
      <c r="G914" s="9"/>
      <c r="I914" s="244"/>
      <c r="J914" s="244"/>
      <c r="K914" s="244"/>
      <c r="U914" s="40"/>
      <c r="V914" s="40"/>
      <c r="W914" s="40"/>
      <c r="X914" s="40"/>
      <c r="Y914" s="40"/>
      <c r="Z914" s="40"/>
      <c r="AA914" s="40"/>
      <c r="AB914" s="40"/>
    </row>
    <row r="915">
      <c r="G915" s="9"/>
      <c r="I915" s="244"/>
      <c r="J915" s="244"/>
      <c r="K915" s="244"/>
      <c r="U915" s="40"/>
      <c r="V915" s="40"/>
      <c r="W915" s="40"/>
      <c r="X915" s="40"/>
      <c r="Y915" s="40"/>
      <c r="Z915" s="40"/>
      <c r="AA915" s="40"/>
      <c r="AB915" s="40"/>
    </row>
    <row r="916">
      <c r="G916" s="9"/>
      <c r="I916" s="244"/>
      <c r="J916" s="244"/>
      <c r="K916" s="244"/>
      <c r="U916" s="40"/>
      <c r="V916" s="40"/>
      <c r="W916" s="40"/>
      <c r="X916" s="40"/>
      <c r="Y916" s="40"/>
      <c r="Z916" s="40"/>
      <c r="AA916" s="40"/>
      <c r="AB916" s="40"/>
    </row>
    <row r="917">
      <c r="G917" s="9"/>
      <c r="I917" s="244"/>
      <c r="J917" s="244"/>
      <c r="K917" s="244"/>
      <c r="U917" s="40"/>
      <c r="V917" s="40"/>
      <c r="W917" s="40"/>
      <c r="X917" s="40"/>
      <c r="Y917" s="40"/>
      <c r="Z917" s="40"/>
      <c r="AA917" s="40"/>
      <c r="AB917" s="40"/>
    </row>
    <row r="918">
      <c r="G918" s="9"/>
      <c r="I918" s="244"/>
      <c r="J918" s="244"/>
      <c r="K918" s="244"/>
      <c r="U918" s="40"/>
      <c r="V918" s="40"/>
      <c r="W918" s="40"/>
      <c r="X918" s="40"/>
      <c r="Y918" s="40"/>
      <c r="Z918" s="40"/>
      <c r="AA918" s="40"/>
      <c r="AB918" s="40"/>
    </row>
    <row r="919">
      <c r="G919" s="9"/>
      <c r="I919" s="244"/>
      <c r="J919" s="244"/>
      <c r="K919" s="244"/>
      <c r="U919" s="40"/>
      <c r="V919" s="40"/>
      <c r="W919" s="40"/>
      <c r="X919" s="40"/>
      <c r="Y919" s="40"/>
      <c r="Z919" s="40"/>
      <c r="AA919" s="40"/>
      <c r="AB919" s="40"/>
    </row>
    <row r="920">
      <c r="G920" s="9"/>
      <c r="I920" s="244"/>
      <c r="J920" s="244"/>
      <c r="K920" s="244"/>
      <c r="U920" s="40"/>
      <c r="V920" s="40"/>
      <c r="W920" s="40"/>
      <c r="X920" s="40"/>
      <c r="Y920" s="40"/>
      <c r="Z920" s="40"/>
      <c r="AA920" s="40"/>
      <c r="AB920" s="40"/>
    </row>
    <row r="921">
      <c r="G921" s="9"/>
      <c r="I921" s="244"/>
      <c r="J921" s="244"/>
      <c r="K921" s="244"/>
      <c r="U921" s="40"/>
      <c r="V921" s="40"/>
      <c r="W921" s="40"/>
      <c r="X921" s="40"/>
      <c r="Y921" s="40"/>
      <c r="Z921" s="40"/>
      <c r="AA921" s="40"/>
      <c r="AB921" s="40"/>
    </row>
    <row r="922">
      <c r="G922" s="9"/>
      <c r="I922" s="244"/>
      <c r="J922" s="244"/>
      <c r="K922" s="244"/>
      <c r="U922" s="40"/>
      <c r="V922" s="40"/>
      <c r="W922" s="40"/>
      <c r="X922" s="40"/>
      <c r="Y922" s="40"/>
      <c r="Z922" s="40"/>
      <c r="AA922" s="40"/>
      <c r="AB922" s="40"/>
    </row>
    <row r="923">
      <c r="G923" s="9"/>
      <c r="I923" s="244"/>
      <c r="J923" s="244"/>
      <c r="K923" s="244"/>
      <c r="U923" s="40"/>
      <c r="V923" s="40"/>
      <c r="W923" s="40"/>
      <c r="X923" s="40"/>
      <c r="Y923" s="40"/>
      <c r="Z923" s="40"/>
      <c r="AA923" s="40"/>
      <c r="AB923" s="40"/>
    </row>
    <row r="924">
      <c r="G924" s="9"/>
      <c r="I924" s="244"/>
      <c r="J924" s="244"/>
      <c r="K924" s="244"/>
      <c r="U924" s="40"/>
      <c r="V924" s="40"/>
      <c r="W924" s="40"/>
      <c r="X924" s="40"/>
      <c r="Y924" s="40"/>
      <c r="Z924" s="40"/>
      <c r="AA924" s="40"/>
      <c r="AB924" s="40"/>
    </row>
    <row r="925">
      <c r="G925" s="9"/>
      <c r="I925" s="244"/>
      <c r="J925" s="244"/>
      <c r="K925" s="244"/>
      <c r="U925" s="40"/>
      <c r="V925" s="40"/>
      <c r="W925" s="40"/>
      <c r="X925" s="40"/>
      <c r="Y925" s="40"/>
      <c r="Z925" s="40"/>
      <c r="AA925" s="40"/>
      <c r="AB925" s="40"/>
    </row>
    <row r="926">
      <c r="G926" s="9"/>
      <c r="I926" s="244"/>
      <c r="J926" s="244"/>
      <c r="K926" s="244"/>
      <c r="U926" s="40"/>
      <c r="V926" s="40"/>
      <c r="W926" s="40"/>
      <c r="X926" s="40"/>
      <c r="Y926" s="40"/>
      <c r="Z926" s="40"/>
      <c r="AA926" s="40"/>
      <c r="AB926" s="40"/>
    </row>
    <row r="927">
      <c r="G927" s="9"/>
      <c r="I927" s="244"/>
      <c r="J927" s="244"/>
      <c r="K927" s="244"/>
      <c r="U927" s="40"/>
      <c r="V927" s="40"/>
      <c r="W927" s="40"/>
      <c r="X927" s="40"/>
      <c r="Y927" s="40"/>
      <c r="Z927" s="40"/>
      <c r="AA927" s="40"/>
      <c r="AB927" s="40"/>
    </row>
    <row r="928">
      <c r="G928" s="9"/>
      <c r="I928" s="244"/>
      <c r="J928" s="244"/>
      <c r="K928" s="244"/>
      <c r="U928" s="40"/>
      <c r="V928" s="40"/>
      <c r="W928" s="40"/>
      <c r="X928" s="40"/>
      <c r="Y928" s="40"/>
      <c r="Z928" s="40"/>
      <c r="AA928" s="40"/>
      <c r="AB928" s="40"/>
    </row>
    <row r="929">
      <c r="G929" s="9"/>
      <c r="I929" s="244"/>
      <c r="J929" s="244"/>
      <c r="K929" s="244"/>
      <c r="U929" s="40"/>
      <c r="V929" s="40"/>
      <c r="W929" s="40"/>
      <c r="X929" s="40"/>
      <c r="Y929" s="40"/>
      <c r="Z929" s="40"/>
      <c r="AA929" s="40"/>
      <c r="AB929" s="40"/>
    </row>
    <row r="930">
      <c r="G930" s="9"/>
      <c r="I930" s="244"/>
      <c r="J930" s="244"/>
      <c r="K930" s="244"/>
      <c r="U930" s="40"/>
      <c r="V930" s="40"/>
      <c r="W930" s="40"/>
      <c r="X930" s="40"/>
      <c r="Y930" s="40"/>
      <c r="Z930" s="40"/>
      <c r="AA930" s="40"/>
      <c r="AB930" s="40"/>
    </row>
    <row r="931">
      <c r="G931" s="9"/>
      <c r="I931" s="244"/>
      <c r="J931" s="244"/>
      <c r="K931" s="244"/>
      <c r="U931" s="40"/>
      <c r="V931" s="40"/>
      <c r="W931" s="40"/>
      <c r="X931" s="40"/>
      <c r="Y931" s="40"/>
      <c r="Z931" s="40"/>
      <c r="AA931" s="40"/>
      <c r="AB931" s="40"/>
    </row>
    <row r="932">
      <c r="G932" s="9"/>
      <c r="I932" s="244"/>
      <c r="J932" s="244"/>
      <c r="K932" s="244"/>
      <c r="U932" s="40"/>
      <c r="V932" s="40"/>
      <c r="W932" s="40"/>
      <c r="X932" s="40"/>
      <c r="Y932" s="40"/>
      <c r="Z932" s="40"/>
      <c r="AA932" s="40"/>
      <c r="AB932" s="40"/>
    </row>
    <row r="933">
      <c r="G933" s="9"/>
      <c r="I933" s="244"/>
      <c r="J933" s="244"/>
      <c r="K933" s="244"/>
      <c r="U933" s="40"/>
      <c r="V933" s="40"/>
      <c r="W933" s="40"/>
      <c r="X933" s="40"/>
      <c r="Y933" s="40"/>
      <c r="Z933" s="40"/>
      <c r="AA933" s="40"/>
      <c r="AB933" s="40"/>
    </row>
    <row r="934">
      <c r="G934" s="9"/>
      <c r="I934" s="244"/>
      <c r="J934" s="244"/>
      <c r="K934" s="244"/>
      <c r="U934" s="40"/>
      <c r="V934" s="40"/>
      <c r="W934" s="40"/>
      <c r="X934" s="40"/>
      <c r="Y934" s="40"/>
      <c r="Z934" s="40"/>
      <c r="AA934" s="40"/>
      <c r="AB934" s="40"/>
    </row>
    <row r="935">
      <c r="G935" s="9"/>
      <c r="I935" s="244"/>
      <c r="J935" s="244"/>
      <c r="K935" s="244"/>
      <c r="U935" s="40"/>
      <c r="V935" s="40"/>
      <c r="W935" s="40"/>
      <c r="X935" s="40"/>
      <c r="Y935" s="40"/>
      <c r="Z935" s="40"/>
      <c r="AA935" s="40"/>
      <c r="AB935" s="40"/>
    </row>
    <row r="936">
      <c r="G936" s="9"/>
      <c r="I936" s="244"/>
      <c r="J936" s="244"/>
      <c r="K936" s="244"/>
      <c r="U936" s="40"/>
      <c r="V936" s="40"/>
      <c r="W936" s="40"/>
      <c r="X936" s="40"/>
      <c r="Y936" s="40"/>
      <c r="Z936" s="40"/>
      <c r="AA936" s="40"/>
      <c r="AB936" s="40"/>
    </row>
    <row r="937">
      <c r="G937" s="9"/>
      <c r="I937" s="244"/>
      <c r="J937" s="244"/>
      <c r="K937" s="244"/>
      <c r="U937" s="40"/>
      <c r="V937" s="40"/>
      <c r="W937" s="40"/>
      <c r="X937" s="40"/>
      <c r="Y937" s="40"/>
      <c r="Z937" s="40"/>
      <c r="AA937" s="40"/>
      <c r="AB937" s="40"/>
    </row>
    <row r="938">
      <c r="G938" s="9"/>
      <c r="I938" s="244"/>
      <c r="J938" s="244"/>
      <c r="K938" s="244"/>
      <c r="U938" s="40"/>
      <c r="V938" s="40"/>
      <c r="W938" s="40"/>
      <c r="X938" s="40"/>
      <c r="Y938" s="40"/>
      <c r="Z938" s="40"/>
      <c r="AA938" s="40"/>
      <c r="AB938" s="40"/>
    </row>
    <row r="939">
      <c r="G939" s="9"/>
      <c r="I939" s="244"/>
      <c r="J939" s="244"/>
      <c r="K939" s="244"/>
      <c r="U939" s="40"/>
      <c r="V939" s="40"/>
      <c r="W939" s="40"/>
      <c r="X939" s="40"/>
      <c r="Y939" s="40"/>
      <c r="Z939" s="40"/>
      <c r="AA939" s="40"/>
      <c r="AB939" s="40"/>
    </row>
    <row r="940">
      <c r="G940" s="9"/>
      <c r="I940" s="244"/>
      <c r="J940" s="244"/>
      <c r="K940" s="244"/>
      <c r="U940" s="40"/>
      <c r="V940" s="40"/>
      <c r="W940" s="40"/>
      <c r="X940" s="40"/>
      <c r="Y940" s="40"/>
      <c r="Z940" s="40"/>
      <c r="AA940" s="40"/>
      <c r="AB940" s="40"/>
    </row>
    <row r="941">
      <c r="G941" s="9"/>
      <c r="I941" s="244"/>
      <c r="J941" s="244"/>
      <c r="K941" s="244"/>
      <c r="U941" s="40"/>
      <c r="V941" s="40"/>
      <c r="W941" s="40"/>
      <c r="X941" s="40"/>
      <c r="Y941" s="40"/>
      <c r="Z941" s="40"/>
      <c r="AA941" s="40"/>
      <c r="AB941" s="40"/>
    </row>
    <row r="942">
      <c r="G942" s="9"/>
      <c r="I942" s="244"/>
      <c r="J942" s="244"/>
      <c r="K942" s="244"/>
      <c r="U942" s="40"/>
      <c r="V942" s="40"/>
      <c r="W942" s="40"/>
      <c r="X942" s="40"/>
      <c r="Y942" s="40"/>
      <c r="Z942" s="40"/>
      <c r="AA942" s="40"/>
      <c r="AB942" s="40"/>
    </row>
    <row r="943">
      <c r="G943" s="9"/>
      <c r="I943" s="244"/>
      <c r="J943" s="244"/>
      <c r="K943" s="244"/>
      <c r="U943" s="40"/>
      <c r="V943" s="40"/>
      <c r="W943" s="40"/>
      <c r="X943" s="40"/>
      <c r="Y943" s="40"/>
      <c r="Z943" s="40"/>
      <c r="AA943" s="40"/>
      <c r="AB943" s="40"/>
    </row>
    <row r="944">
      <c r="G944" s="9"/>
      <c r="I944" s="244"/>
      <c r="J944" s="244"/>
      <c r="K944" s="244"/>
      <c r="U944" s="40"/>
      <c r="V944" s="40"/>
      <c r="W944" s="40"/>
      <c r="X944" s="40"/>
      <c r="Y944" s="40"/>
      <c r="Z944" s="40"/>
      <c r="AA944" s="40"/>
      <c r="AB944" s="40"/>
    </row>
    <row r="945">
      <c r="G945" s="9"/>
      <c r="I945" s="244"/>
      <c r="J945" s="244"/>
      <c r="K945" s="244"/>
      <c r="U945" s="40"/>
      <c r="V945" s="40"/>
      <c r="W945" s="40"/>
      <c r="X945" s="40"/>
      <c r="Y945" s="40"/>
      <c r="Z945" s="40"/>
      <c r="AA945" s="40"/>
      <c r="AB945" s="40"/>
    </row>
    <row r="946">
      <c r="G946" s="9"/>
      <c r="I946" s="244"/>
      <c r="J946" s="244"/>
      <c r="K946" s="244"/>
      <c r="U946" s="40"/>
      <c r="V946" s="40"/>
      <c r="W946" s="40"/>
      <c r="X946" s="40"/>
      <c r="Y946" s="40"/>
      <c r="Z946" s="40"/>
      <c r="AA946" s="40"/>
      <c r="AB946" s="40"/>
    </row>
    <row r="947">
      <c r="G947" s="9"/>
      <c r="I947" s="244"/>
      <c r="J947" s="244"/>
      <c r="K947" s="244"/>
      <c r="U947" s="40"/>
      <c r="V947" s="40"/>
      <c r="W947" s="40"/>
      <c r="X947" s="40"/>
      <c r="Y947" s="40"/>
      <c r="Z947" s="40"/>
      <c r="AA947" s="40"/>
      <c r="AB947" s="40"/>
    </row>
    <row r="948">
      <c r="G948" s="9"/>
      <c r="I948" s="244"/>
      <c r="J948" s="244"/>
      <c r="K948" s="244"/>
      <c r="U948" s="40"/>
      <c r="V948" s="40"/>
      <c r="W948" s="40"/>
      <c r="X948" s="40"/>
      <c r="Y948" s="40"/>
      <c r="Z948" s="40"/>
      <c r="AA948" s="40"/>
      <c r="AB948" s="40"/>
    </row>
    <row r="949">
      <c r="G949" s="9"/>
      <c r="I949" s="244"/>
      <c r="J949" s="244"/>
      <c r="K949" s="244"/>
      <c r="U949" s="40"/>
      <c r="V949" s="40"/>
      <c r="W949" s="40"/>
      <c r="X949" s="40"/>
      <c r="Y949" s="40"/>
      <c r="Z949" s="40"/>
      <c r="AA949" s="40"/>
      <c r="AB949" s="40"/>
    </row>
    <row r="950">
      <c r="G950" s="9"/>
      <c r="I950" s="244"/>
      <c r="J950" s="244"/>
      <c r="K950" s="244"/>
      <c r="U950" s="40"/>
      <c r="V950" s="40"/>
      <c r="W950" s="40"/>
      <c r="X950" s="40"/>
      <c r="Y950" s="40"/>
      <c r="Z950" s="40"/>
      <c r="AA950" s="40"/>
      <c r="AB950" s="40"/>
    </row>
    <row r="951">
      <c r="G951" s="9"/>
      <c r="I951" s="244"/>
      <c r="J951" s="244"/>
      <c r="K951" s="244"/>
      <c r="U951" s="40"/>
      <c r="V951" s="40"/>
      <c r="W951" s="40"/>
      <c r="X951" s="40"/>
      <c r="Y951" s="40"/>
      <c r="Z951" s="40"/>
      <c r="AA951" s="40"/>
      <c r="AB951" s="40"/>
    </row>
    <row r="952">
      <c r="G952" s="9"/>
      <c r="I952" s="244"/>
      <c r="J952" s="244"/>
      <c r="K952" s="244"/>
      <c r="U952" s="40"/>
      <c r="V952" s="40"/>
      <c r="W952" s="40"/>
      <c r="X952" s="40"/>
      <c r="Y952" s="40"/>
      <c r="Z952" s="40"/>
      <c r="AA952" s="40"/>
      <c r="AB952" s="40"/>
    </row>
    <row r="953">
      <c r="G953" s="9"/>
      <c r="I953" s="244"/>
      <c r="J953" s="244"/>
      <c r="K953" s="244"/>
      <c r="U953" s="40"/>
      <c r="V953" s="40"/>
      <c r="W953" s="40"/>
      <c r="X953" s="40"/>
      <c r="Y953" s="40"/>
      <c r="Z953" s="40"/>
      <c r="AA953" s="40"/>
      <c r="AB953" s="40"/>
    </row>
    <row r="954">
      <c r="G954" s="9"/>
      <c r="I954" s="244"/>
      <c r="J954" s="244"/>
      <c r="K954" s="244"/>
      <c r="U954" s="40"/>
      <c r="V954" s="40"/>
      <c r="W954" s="40"/>
      <c r="X954" s="40"/>
      <c r="Y954" s="40"/>
      <c r="Z954" s="40"/>
      <c r="AA954" s="40"/>
      <c r="AB954" s="40"/>
    </row>
    <row r="955">
      <c r="G955" s="9"/>
      <c r="I955" s="244"/>
      <c r="J955" s="244"/>
      <c r="K955" s="244"/>
      <c r="U955" s="40"/>
      <c r="V955" s="40"/>
      <c r="W955" s="40"/>
      <c r="X955" s="40"/>
      <c r="Y955" s="40"/>
      <c r="Z955" s="40"/>
      <c r="AA955" s="40"/>
      <c r="AB955" s="40"/>
    </row>
    <row r="956">
      <c r="G956" s="9"/>
      <c r="I956" s="244"/>
      <c r="J956" s="244"/>
      <c r="K956" s="244"/>
      <c r="U956" s="40"/>
      <c r="V956" s="40"/>
      <c r="W956" s="40"/>
      <c r="X956" s="40"/>
      <c r="Y956" s="40"/>
      <c r="Z956" s="40"/>
      <c r="AA956" s="40"/>
      <c r="AB956" s="40"/>
    </row>
    <row r="957">
      <c r="G957" s="9"/>
      <c r="I957" s="244"/>
      <c r="J957" s="244"/>
      <c r="K957" s="244"/>
      <c r="U957" s="40"/>
      <c r="V957" s="40"/>
      <c r="W957" s="40"/>
      <c r="X957" s="40"/>
      <c r="Y957" s="40"/>
      <c r="Z957" s="40"/>
      <c r="AA957" s="40"/>
      <c r="AB957" s="40"/>
    </row>
    <row r="958">
      <c r="G958" s="9"/>
      <c r="I958" s="244"/>
      <c r="J958" s="244"/>
      <c r="K958" s="244"/>
      <c r="U958" s="40"/>
      <c r="V958" s="40"/>
      <c r="W958" s="40"/>
      <c r="X958" s="40"/>
      <c r="Y958" s="40"/>
      <c r="Z958" s="40"/>
      <c r="AA958" s="40"/>
      <c r="AB958" s="40"/>
    </row>
    <row r="959">
      <c r="G959" s="9"/>
      <c r="I959" s="244"/>
      <c r="J959" s="244"/>
      <c r="K959" s="244"/>
      <c r="U959" s="40"/>
      <c r="V959" s="40"/>
      <c r="W959" s="40"/>
      <c r="X959" s="40"/>
      <c r="Y959" s="40"/>
      <c r="Z959" s="40"/>
      <c r="AA959" s="40"/>
      <c r="AB959" s="40"/>
    </row>
    <row r="960">
      <c r="G960" s="9"/>
      <c r="I960" s="244"/>
      <c r="J960" s="244"/>
      <c r="K960" s="244"/>
      <c r="U960" s="40"/>
      <c r="V960" s="40"/>
      <c r="W960" s="40"/>
      <c r="X960" s="40"/>
      <c r="Y960" s="40"/>
      <c r="Z960" s="40"/>
      <c r="AA960" s="40"/>
      <c r="AB960" s="40"/>
    </row>
    <row r="961">
      <c r="G961" s="9"/>
      <c r="I961" s="244"/>
      <c r="J961" s="244"/>
      <c r="K961" s="244"/>
      <c r="U961" s="40"/>
      <c r="V961" s="40"/>
      <c r="W961" s="40"/>
      <c r="X961" s="40"/>
      <c r="Y961" s="40"/>
      <c r="Z961" s="40"/>
      <c r="AA961" s="40"/>
      <c r="AB961" s="40"/>
    </row>
    <row r="962">
      <c r="G962" s="9"/>
      <c r="I962" s="244"/>
      <c r="J962" s="244"/>
      <c r="K962" s="244"/>
      <c r="U962" s="40"/>
      <c r="V962" s="40"/>
      <c r="W962" s="40"/>
      <c r="X962" s="40"/>
      <c r="Y962" s="40"/>
      <c r="Z962" s="40"/>
      <c r="AA962" s="40"/>
      <c r="AB962" s="40"/>
    </row>
    <row r="963">
      <c r="G963" s="9"/>
      <c r="I963" s="244"/>
      <c r="J963" s="244"/>
      <c r="K963" s="244"/>
      <c r="U963" s="40"/>
      <c r="V963" s="40"/>
      <c r="W963" s="40"/>
      <c r="X963" s="40"/>
      <c r="Y963" s="40"/>
      <c r="Z963" s="40"/>
      <c r="AA963" s="40"/>
      <c r="AB963" s="40"/>
    </row>
    <row r="964">
      <c r="G964" s="9"/>
      <c r="I964" s="244"/>
      <c r="J964" s="244"/>
      <c r="K964" s="244"/>
      <c r="U964" s="40"/>
      <c r="V964" s="40"/>
      <c r="W964" s="40"/>
      <c r="X964" s="40"/>
      <c r="Y964" s="40"/>
      <c r="Z964" s="40"/>
      <c r="AA964" s="40"/>
      <c r="AB964" s="40"/>
    </row>
    <row r="965">
      <c r="G965" s="9"/>
      <c r="I965" s="244"/>
      <c r="J965" s="244"/>
      <c r="K965" s="244"/>
      <c r="U965" s="40"/>
      <c r="V965" s="40"/>
      <c r="W965" s="40"/>
      <c r="X965" s="40"/>
      <c r="Y965" s="40"/>
      <c r="Z965" s="40"/>
      <c r="AA965" s="40"/>
      <c r="AB965" s="40"/>
    </row>
    <row r="966">
      <c r="G966" s="9"/>
      <c r="I966" s="244"/>
      <c r="J966" s="244"/>
      <c r="K966" s="244"/>
      <c r="U966" s="40"/>
      <c r="V966" s="40"/>
      <c r="W966" s="40"/>
      <c r="X966" s="40"/>
      <c r="Y966" s="40"/>
      <c r="Z966" s="40"/>
      <c r="AA966" s="40"/>
      <c r="AB966" s="40"/>
    </row>
    <row r="967">
      <c r="G967" s="9"/>
      <c r="I967" s="244"/>
      <c r="J967" s="244"/>
      <c r="K967" s="244"/>
      <c r="U967" s="40"/>
      <c r="V967" s="40"/>
      <c r="W967" s="40"/>
      <c r="X967" s="40"/>
      <c r="Y967" s="40"/>
      <c r="Z967" s="40"/>
      <c r="AA967" s="40"/>
      <c r="AB967" s="40"/>
    </row>
    <row r="968">
      <c r="G968" s="9"/>
      <c r="I968" s="244"/>
      <c r="J968" s="244"/>
      <c r="K968" s="244"/>
      <c r="U968" s="40"/>
      <c r="V968" s="40"/>
      <c r="W968" s="40"/>
      <c r="X968" s="40"/>
      <c r="Y968" s="40"/>
      <c r="Z968" s="40"/>
      <c r="AA968" s="40"/>
      <c r="AB968" s="40"/>
    </row>
    <row r="969">
      <c r="G969" s="9"/>
      <c r="I969" s="244"/>
      <c r="J969" s="244"/>
      <c r="K969" s="244"/>
      <c r="U969" s="40"/>
      <c r="V969" s="40"/>
      <c r="W969" s="40"/>
      <c r="X969" s="40"/>
      <c r="Y969" s="40"/>
      <c r="Z969" s="40"/>
      <c r="AA969" s="40"/>
      <c r="AB969" s="40"/>
    </row>
    <row r="970">
      <c r="G970" s="9"/>
      <c r="I970" s="244"/>
      <c r="J970" s="244"/>
      <c r="K970" s="244"/>
      <c r="U970" s="40"/>
      <c r="V970" s="40"/>
      <c r="W970" s="40"/>
      <c r="X970" s="40"/>
      <c r="Y970" s="40"/>
      <c r="Z970" s="40"/>
      <c r="AA970" s="40"/>
      <c r="AB970" s="40"/>
    </row>
    <row r="971">
      <c r="G971" s="9"/>
      <c r="I971" s="244"/>
      <c r="J971" s="244"/>
      <c r="K971" s="244"/>
      <c r="U971" s="40"/>
      <c r="V971" s="40"/>
      <c r="W971" s="40"/>
      <c r="X971" s="40"/>
      <c r="Y971" s="40"/>
      <c r="Z971" s="40"/>
      <c r="AA971" s="40"/>
      <c r="AB971" s="40"/>
    </row>
    <row r="972">
      <c r="G972" s="9"/>
      <c r="I972" s="244"/>
      <c r="J972" s="244"/>
      <c r="K972" s="244"/>
      <c r="U972" s="40"/>
      <c r="V972" s="40"/>
      <c r="W972" s="40"/>
      <c r="X972" s="40"/>
      <c r="Y972" s="40"/>
      <c r="Z972" s="40"/>
      <c r="AA972" s="40"/>
      <c r="AB972" s="40"/>
    </row>
    <row r="973">
      <c r="G973" s="9"/>
      <c r="I973" s="244"/>
      <c r="J973" s="244"/>
      <c r="K973" s="244"/>
      <c r="U973" s="40"/>
      <c r="V973" s="40"/>
      <c r="W973" s="40"/>
      <c r="X973" s="40"/>
      <c r="Y973" s="40"/>
      <c r="Z973" s="40"/>
      <c r="AA973" s="40"/>
      <c r="AB973" s="40"/>
    </row>
    <row r="974">
      <c r="G974" s="9"/>
      <c r="I974" s="244"/>
      <c r="J974" s="244"/>
      <c r="K974" s="244"/>
      <c r="U974" s="40"/>
      <c r="V974" s="40"/>
      <c r="W974" s="40"/>
      <c r="X974" s="40"/>
      <c r="Y974" s="40"/>
      <c r="Z974" s="40"/>
      <c r="AA974" s="40"/>
      <c r="AB974" s="40"/>
    </row>
    <row r="975">
      <c r="G975" s="9"/>
      <c r="I975" s="244"/>
      <c r="J975" s="244"/>
      <c r="K975" s="244"/>
      <c r="U975" s="40"/>
      <c r="V975" s="40"/>
      <c r="W975" s="40"/>
      <c r="X975" s="40"/>
      <c r="Y975" s="40"/>
      <c r="Z975" s="40"/>
      <c r="AA975" s="40"/>
      <c r="AB975" s="40"/>
    </row>
    <row r="976">
      <c r="G976" s="9"/>
      <c r="I976" s="244"/>
      <c r="J976" s="244"/>
      <c r="K976" s="244"/>
      <c r="U976" s="40"/>
      <c r="V976" s="40"/>
      <c r="W976" s="40"/>
      <c r="X976" s="40"/>
      <c r="Y976" s="40"/>
      <c r="Z976" s="40"/>
      <c r="AA976" s="40"/>
      <c r="AB976" s="40"/>
    </row>
    <row r="977">
      <c r="G977" s="9"/>
      <c r="I977" s="244"/>
      <c r="J977" s="244"/>
      <c r="K977" s="244"/>
      <c r="U977" s="40"/>
      <c r="V977" s="40"/>
      <c r="W977" s="40"/>
      <c r="X977" s="40"/>
      <c r="Y977" s="40"/>
      <c r="Z977" s="40"/>
      <c r="AA977" s="40"/>
      <c r="AB977" s="40"/>
    </row>
    <row r="978">
      <c r="G978" s="9"/>
      <c r="I978" s="244"/>
      <c r="J978" s="244"/>
      <c r="K978" s="244"/>
      <c r="U978" s="40"/>
      <c r="V978" s="40"/>
      <c r="W978" s="40"/>
      <c r="X978" s="40"/>
      <c r="Y978" s="40"/>
      <c r="Z978" s="40"/>
      <c r="AA978" s="40"/>
      <c r="AB978" s="40"/>
    </row>
    <row r="979">
      <c r="G979" s="9"/>
      <c r="I979" s="244"/>
      <c r="J979" s="244"/>
      <c r="K979" s="244"/>
      <c r="U979" s="40"/>
      <c r="V979" s="40"/>
      <c r="W979" s="40"/>
      <c r="X979" s="40"/>
      <c r="Y979" s="40"/>
      <c r="Z979" s="40"/>
      <c r="AA979" s="40"/>
      <c r="AB979" s="40"/>
    </row>
    <row r="980">
      <c r="G980" s="9"/>
      <c r="I980" s="244"/>
      <c r="J980" s="244"/>
      <c r="K980" s="244"/>
      <c r="U980" s="40"/>
      <c r="V980" s="40"/>
      <c r="W980" s="40"/>
      <c r="X980" s="40"/>
      <c r="Y980" s="40"/>
      <c r="Z980" s="40"/>
      <c r="AA980" s="40"/>
      <c r="AB980" s="40"/>
    </row>
    <row r="981">
      <c r="G981" s="9"/>
      <c r="I981" s="244"/>
      <c r="J981" s="244"/>
      <c r="K981" s="244"/>
      <c r="U981" s="40"/>
      <c r="V981" s="40"/>
      <c r="W981" s="40"/>
      <c r="X981" s="40"/>
      <c r="Y981" s="40"/>
      <c r="Z981" s="40"/>
      <c r="AA981" s="40"/>
      <c r="AB981" s="40"/>
    </row>
    <row r="982">
      <c r="G982" s="9"/>
      <c r="I982" s="244"/>
      <c r="J982" s="244"/>
      <c r="K982" s="244"/>
      <c r="U982" s="40"/>
      <c r="V982" s="40"/>
      <c r="W982" s="40"/>
      <c r="X982" s="40"/>
      <c r="Y982" s="40"/>
      <c r="Z982" s="40"/>
      <c r="AA982" s="40"/>
      <c r="AB982" s="40"/>
    </row>
    <row r="983">
      <c r="G983" s="9"/>
      <c r="I983" s="244"/>
      <c r="J983" s="244"/>
      <c r="K983" s="244"/>
      <c r="U983" s="40"/>
      <c r="V983" s="40"/>
      <c r="W983" s="40"/>
      <c r="X983" s="40"/>
      <c r="Y983" s="40"/>
      <c r="Z983" s="40"/>
      <c r="AA983" s="40"/>
      <c r="AB983" s="40"/>
    </row>
    <row r="984">
      <c r="G984" s="9"/>
      <c r="I984" s="244"/>
      <c r="J984" s="244"/>
      <c r="K984" s="244"/>
      <c r="U984" s="40"/>
      <c r="V984" s="40"/>
      <c r="W984" s="40"/>
      <c r="X984" s="40"/>
      <c r="Y984" s="40"/>
      <c r="Z984" s="40"/>
      <c r="AA984" s="40"/>
      <c r="AB984" s="40"/>
    </row>
    <row r="985">
      <c r="G985" s="9"/>
      <c r="I985" s="244"/>
      <c r="J985" s="244"/>
      <c r="K985" s="244"/>
      <c r="U985" s="40"/>
      <c r="V985" s="40"/>
      <c r="W985" s="40"/>
      <c r="X985" s="40"/>
      <c r="Y985" s="40"/>
      <c r="Z985" s="40"/>
      <c r="AA985" s="40"/>
      <c r="AB985" s="40"/>
    </row>
    <row r="986">
      <c r="G986" s="9"/>
      <c r="I986" s="244"/>
      <c r="J986" s="244"/>
      <c r="K986" s="244"/>
      <c r="U986" s="40"/>
      <c r="V986" s="40"/>
      <c r="W986" s="40"/>
      <c r="X986" s="40"/>
      <c r="Y986" s="40"/>
      <c r="Z986" s="40"/>
      <c r="AA986" s="40"/>
      <c r="AB986" s="40"/>
    </row>
    <row r="987">
      <c r="G987" s="9"/>
      <c r="I987" s="244"/>
      <c r="J987" s="244"/>
      <c r="K987" s="244"/>
      <c r="U987" s="40"/>
      <c r="V987" s="40"/>
      <c r="W987" s="40"/>
      <c r="X987" s="40"/>
      <c r="Y987" s="40"/>
      <c r="Z987" s="40"/>
      <c r="AA987" s="40"/>
      <c r="AB987" s="40"/>
    </row>
    <row r="988">
      <c r="G988" s="9"/>
      <c r="I988" s="244"/>
      <c r="J988" s="244"/>
      <c r="K988" s="244"/>
      <c r="U988" s="40"/>
      <c r="V988" s="40"/>
      <c r="W988" s="40"/>
      <c r="X988" s="40"/>
      <c r="Y988" s="40"/>
      <c r="Z988" s="40"/>
      <c r="AA988" s="40"/>
      <c r="AB988" s="40"/>
    </row>
    <row r="989">
      <c r="G989" s="9"/>
      <c r="I989" s="244"/>
      <c r="J989" s="244"/>
      <c r="K989" s="244"/>
      <c r="U989" s="40"/>
      <c r="V989" s="40"/>
      <c r="W989" s="40"/>
      <c r="X989" s="40"/>
      <c r="Y989" s="40"/>
      <c r="Z989" s="40"/>
      <c r="AA989" s="40"/>
      <c r="AB989" s="40"/>
    </row>
    <row r="990">
      <c r="G990" s="9"/>
      <c r="I990" s="244"/>
      <c r="J990" s="244"/>
      <c r="K990" s="244"/>
      <c r="U990" s="40"/>
      <c r="V990" s="40"/>
      <c r="W990" s="40"/>
      <c r="X990" s="40"/>
      <c r="Y990" s="40"/>
      <c r="Z990" s="40"/>
      <c r="AA990" s="40"/>
      <c r="AB990" s="40"/>
    </row>
    <row r="991">
      <c r="G991" s="9"/>
      <c r="I991" s="244"/>
      <c r="J991" s="244"/>
      <c r="K991" s="244"/>
      <c r="U991" s="40"/>
      <c r="V991" s="40"/>
      <c r="W991" s="40"/>
      <c r="X991" s="40"/>
      <c r="Y991" s="40"/>
      <c r="Z991" s="40"/>
      <c r="AA991" s="40"/>
      <c r="AB991" s="40"/>
    </row>
    <row r="992">
      <c r="G992" s="9"/>
      <c r="I992" s="244"/>
      <c r="J992" s="244"/>
      <c r="K992" s="244"/>
      <c r="U992" s="40"/>
      <c r="V992" s="40"/>
      <c r="W992" s="40"/>
      <c r="X992" s="40"/>
      <c r="Y992" s="40"/>
      <c r="Z992" s="40"/>
      <c r="AA992" s="40"/>
      <c r="AB992" s="40"/>
    </row>
    <row r="993">
      <c r="G993" s="9"/>
      <c r="I993" s="244"/>
      <c r="J993" s="244"/>
      <c r="K993" s="244"/>
      <c r="U993" s="40"/>
      <c r="V993" s="40"/>
      <c r="W993" s="40"/>
      <c r="X993" s="40"/>
      <c r="Y993" s="40"/>
      <c r="Z993" s="40"/>
      <c r="AA993" s="40"/>
      <c r="AB993" s="40"/>
    </row>
    <row r="994">
      <c r="G994" s="9"/>
      <c r="I994" s="244"/>
      <c r="J994" s="244"/>
      <c r="K994" s="244"/>
      <c r="U994" s="40"/>
      <c r="V994" s="40"/>
      <c r="W994" s="40"/>
      <c r="X994" s="40"/>
      <c r="Y994" s="40"/>
      <c r="Z994" s="40"/>
      <c r="AA994" s="40"/>
      <c r="AB994" s="40"/>
    </row>
    <row r="995">
      <c r="G995" s="9"/>
      <c r="I995" s="244"/>
      <c r="J995" s="244"/>
      <c r="K995" s="244"/>
      <c r="U995" s="40"/>
      <c r="V995" s="40"/>
      <c r="W995" s="40"/>
      <c r="X995" s="40"/>
      <c r="Y995" s="40"/>
      <c r="Z995" s="40"/>
      <c r="AA995" s="40"/>
      <c r="AB995" s="40"/>
    </row>
    <row r="996">
      <c r="G996" s="9"/>
      <c r="I996" s="244"/>
      <c r="J996" s="244"/>
      <c r="K996" s="244"/>
      <c r="U996" s="40"/>
      <c r="V996" s="40"/>
      <c r="W996" s="40"/>
      <c r="X996" s="40"/>
      <c r="Y996" s="40"/>
      <c r="Z996" s="40"/>
      <c r="AA996" s="40"/>
      <c r="AB996" s="40"/>
    </row>
    <row r="997">
      <c r="G997" s="9"/>
      <c r="I997" s="244"/>
      <c r="J997" s="244"/>
      <c r="K997" s="244"/>
      <c r="U997" s="40"/>
      <c r="V997" s="40"/>
      <c r="W997" s="40"/>
      <c r="X997" s="40"/>
      <c r="Y997" s="40"/>
      <c r="Z997" s="40"/>
      <c r="AA997" s="40"/>
      <c r="AB997" s="40"/>
    </row>
    <row r="998">
      <c r="G998" s="9"/>
      <c r="I998" s="244"/>
      <c r="J998" s="244"/>
      <c r="K998" s="244"/>
      <c r="U998" s="40"/>
      <c r="V998" s="40"/>
      <c r="W998" s="40"/>
      <c r="X998" s="40"/>
      <c r="Y998" s="40"/>
      <c r="Z998" s="40"/>
      <c r="AA998" s="40"/>
      <c r="AB998" s="40"/>
    </row>
    <row r="999">
      <c r="G999" s="9"/>
      <c r="I999" s="244"/>
      <c r="J999" s="244"/>
      <c r="K999" s="244"/>
      <c r="U999" s="40"/>
      <c r="V999" s="40"/>
      <c r="W999" s="40"/>
      <c r="X999" s="40"/>
      <c r="Y999" s="40"/>
      <c r="Z999" s="40"/>
      <c r="AA999" s="40"/>
      <c r="AB999" s="40"/>
    </row>
    <row r="1000">
      <c r="G1000" s="9"/>
      <c r="I1000" s="244"/>
      <c r="J1000" s="244"/>
      <c r="K1000" s="244"/>
      <c r="U1000" s="40"/>
      <c r="V1000" s="40"/>
      <c r="W1000" s="40"/>
      <c r="X1000" s="40"/>
      <c r="Y1000" s="40"/>
      <c r="Z1000" s="40"/>
      <c r="AA1000" s="40"/>
      <c r="AB1000" s="40"/>
    </row>
    <row r="1001">
      <c r="G1001" s="9"/>
      <c r="I1001" s="244"/>
      <c r="J1001" s="244"/>
      <c r="K1001" s="244"/>
      <c r="U1001" s="40"/>
      <c r="V1001" s="40"/>
      <c r="W1001" s="40"/>
      <c r="X1001" s="40"/>
      <c r="Y1001" s="40"/>
      <c r="Z1001" s="40"/>
      <c r="AA1001" s="40"/>
      <c r="AB1001" s="40"/>
    </row>
    <row r="1002">
      <c r="G1002" s="9"/>
      <c r="I1002" s="244"/>
      <c r="J1002" s="244"/>
      <c r="K1002" s="244"/>
      <c r="U1002" s="40"/>
      <c r="V1002" s="40"/>
      <c r="W1002" s="40"/>
      <c r="X1002" s="40"/>
      <c r="Y1002" s="40"/>
      <c r="Z1002" s="40"/>
      <c r="AA1002" s="40"/>
      <c r="AB1002" s="40"/>
    </row>
    <row r="1003">
      <c r="G1003" s="9"/>
      <c r="I1003" s="244"/>
      <c r="J1003" s="244"/>
      <c r="K1003" s="244"/>
      <c r="U1003" s="40"/>
      <c r="V1003" s="40"/>
      <c r="W1003" s="40"/>
      <c r="X1003" s="40"/>
      <c r="Y1003" s="40"/>
      <c r="Z1003" s="40"/>
      <c r="AA1003" s="40"/>
      <c r="AB1003" s="40"/>
    </row>
    <row r="1004">
      <c r="G1004" s="9"/>
      <c r="I1004" s="244"/>
      <c r="J1004" s="244"/>
      <c r="K1004" s="244"/>
      <c r="U1004" s="40"/>
      <c r="V1004" s="40"/>
      <c r="W1004" s="40"/>
      <c r="X1004" s="40"/>
      <c r="Y1004" s="40"/>
      <c r="Z1004" s="40"/>
      <c r="AA1004" s="40"/>
      <c r="AB1004" s="40"/>
    </row>
    <row r="1005">
      <c r="G1005" s="9"/>
      <c r="I1005" s="244"/>
      <c r="J1005" s="244"/>
      <c r="K1005" s="244"/>
      <c r="U1005" s="40"/>
      <c r="V1005" s="40"/>
      <c r="W1005" s="40"/>
      <c r="X1005" s="40"/>
      <c r="Y1005" s="40"/>
      <c r="Z1005" s="40"/>
      <c r="AA1005" s="40"/>
      <c r="AB1005" s="40"/>
    </row>
    <row r="1006">
      <c r="G1006" s="9"/>
      <c r="I1006" s="244"/>
      <c r="J1006" s="244"/>
      <c r="K1006" s="244"/>
      <c r="U1006" s="264"/>
      <c r="V1006" s="264"/>
      <c r="W1006" s="264"/>
      <c r="X1006" s="264"/>
      <c r="Y1006" s="264"/>
      <c r="Z1006" s="264"/>
      <c r="AA1006" s="264"/>
      <c r="AB1006" s="264"/>
    </row>
  </sheetData>
  <mergeCells count="13">
    <mergeCell ref="A71:G71"/>
    <mergeCell ref="A94:F94"/>
    <mergeCell ref="A117:G117"/>
    <mergeCell ref="A140:G140"/>
    <mergeCell ref="A163:G163"/>
    <mergeCell ref="A186:G186"/>
    <mergeCell ref="U2:AE2"/>
    <mergeCell ref="B3:C3"/>
    <mergeCell ref="H3:J3"/>
    <mergeCell ref="M3:O3"/>
    <mergeCell ref="Q3:S3"/>
    <mergeCell ref="A25:F25"/>
    <mergeCell ref="A48:G48"/>
  </mergeCells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88"/>
    <col customWidth="1" min="3" max="3" width="23.5"/>
    <col customWidth="1" hidden="1" min="4" max="4" width="18.75"/>
    <col customWidth="1" min="5" max="5" width="12.63"/>
    <col customWidth="1" min="6" max="6" width="7.38"/>
    <col customWidth="1" min="7" max="7" width="9.38"/>
    <col customWidth="1" min="8" max="8" width="7.75"/>
    <col customWidth="1" min="9" max="9" width="9.25"/>
    <col customWidth="1" min="10" max="10" width="8.0"/>
    <col customWidth="1" min="11" max="11" width="8.25"/>
    <col customWidth="1" min="12" max="12" width="8.0"/>
    <col customWidth="1" min="13" max="13" width="8.5"/>
    <col customWidth="1" min="14" max="14" width="27.5"/>
  </cols>
  <sheetData>
    <row r="1">
      <c r="A1" s="3" t="s">
        <v>0</v>
      </c>
    </row>
    <row r="2">
      <c r="A2" s="6" t="s">
        <v>3</v>
      </c>
      <c r="B2" s="8" t="s">
        <v>5</v>
      </c>
      <c r="C2" s="12" t="s">
        <v>7</v>
      </c>
      <c r="D2" s="17" t="s">
        <v>9</v>
      </c>
      <c r="E2" s="17" t="s">
        <v>11</v>
      </c>
      <c r="F2" s="17" t="s">
        <v>12</v>
      </c>
      <c r="G2" s="17" t="s">
        <v>14</v>
      </c>
      <c r="H2" s="17" t="s">
        <v>15</v>
      </c>
      <c r="I2" s="17" t="s">
        <v>16</v>
      </c>
      <c r="J2" s="17" t="s">
        <v>17</v>
      </c>
      <c r="K2" s="21" t="s">
        <v>18</v>
      </c>
      <c r="L2" s="21" t="s">
        <v>22</v>
      </c>
      <c r="M2" s="21" t="s">
        <v>23</v>
      </c>
      <c r="N2" s="21" t="s">
        <v>24</v>
      </c>
    </row>
    <row r="3">
      <c r="A3" s="27">
        <v>1.0</v>
      </c>
      <c r="B3" s="30" t="s">
        <v>28</v>
      </c>
      <c r="C3" s="33" t="s">
        <v>30</v>
      </c>
      <c r="D3" s="35" t="s">
        <v>32</v>
      </c>
      <c r="E3" s="35" t="s">
        <v>33</v>
      </c>
      <c r="F3" s="35" t="s">
        <v>34</v>
      </c>
      <c r="G3" s="35" t="s">
        <v>36</v>
      </c>
      <c r="H3" s="35" t="s">
        <v>37</v>
      </c>
      <c r="I3" s="35" t="s">
        <v>38</v>
      </c>
      <c r="J3" s="35" t="s">
        <v>36</v>
      </c>
      <c r="K3" s="35" t="s">
        <v>33</v>
      </c>
      <c r="L3" s="35" t="s">
        <v>36</v>
      </c>
      <c r="M3" s="39">
        <v>0.9757</v>
      </c>
      <c r="N3" s="35" t="s">
        <v>40</v>
      </c>
    </row>
    <row r="4">
      <c r="A4" s="42">
        <v>2.0</v>
      </c>
      <c r="B4" s="30" t="s">
        <v>43</v>
      </c>
      <c r="C4" s="33" t="s">
        <v>44</v>
      </c>
      <c r="D4" s="35" t="s">
        <v>45</v>
      </c>
      <c r="E4" s="35" t="s">
        <v>34</v>
      </c>
      <c r="F4" s="35" t="s">
        <v>47</v>
      </c>
      <c r="G4" s="35" t="s">
        <v>33</v>
      </c>
      <c r="H4" s="35" t="s">
        <v>37</v>
      </c>
      <c r="I4" s="35" t="s">
        <v>48</v>
      </c>
      <c r="J4" s="35" t="s">
        <v>33</v>
      </c>
      <c r="K4" s="35" t="s">
        <v>49</v>
      </c>
      <c r="L4" s="35" t="s">
        <v>50</v>
      </c>
      <c r="M4" s="39">
        <v>0.9486</v>
      </c>
      <c r="N4" s="35" t="s">
        <v>40</v>
      </c>
    </row>
    <row r="5">
      <c r="A5" s="42">
        <v>3.0</v>
      </c>
      <c r="B5" s="30" t="s">
        <v>51</v>
      </c>
      <c r="C5" s="33" t="s">
        <v>52</v>
      </c>
      <c r="D5" s="35" t="s">
        <v>32</v>
      </c>
      <c r="E5" s="35" t="s">
        <v>49</v>
      </c>
      <c r="F5" s="35" t="s">
        <v>54</v>
      </c>
      <c r="G5" s="35" t="s">
        <v>37</v>
      </c>
      <c r="H5" s="35" t="s">
        <v>48</v>
      </c>
      <c r="I5" s="35" t="s">
        <v>55</v>
      </c>
      <c r="J5" s="35" t="s">
        <v>34</v>
      </c>
      <c r="K5" s="35" t="s">
        <v>54</v>
      </c>
      <c r="L5" s="35" t="s">
        <v>56</v>
      </c>
      <c r="M5" s="39">
        <v>0.9429</v>
      </c>
      <c r="N5" s="35" t="s">
        <v>40</v>
      </c>
    </row>
    <row r="6">
      <c r="A6" s="42">
        <v>4.0</v>
      </c>
      <c r="B6" s="30" t="s">
        <v>58</v>
      </c>
      <c r="C6" s="33" t="s">
        <v>59</v>
      </c>
      <c r="D6" s="35" t="s">
        <v>45</v>
      </c>
      <c r="E6" s="35" t="s">
        <v>54</v>
      </c>
      <c r="F6" s="35" t="s">
        <v>60</v>
      </c>
      <c r="G6" s="35" t="s">
        <v>37</v>
      </c>
      <c r="H6" s="35" t="s">
        <v>33</v>
      </c>
      <c r="I6" s="35" t="s">
        <v>56</v>
      </c>
      <c r="J6" s="35" t="s">
        <v>49</v>
      </c>
      <c r="K6" s="35" t="s">
        <v>61</v>
      </c>
      <c r="L6" s="35" t="s">
        <v>36</v>
      </c>
      <c r="M6" s="39">
        <v>0.9357</v>
      </c>
      <c r="N6" s="35" t="s">
        <v>40</v>
      </c>
    </row>
    <row r="7">
      <c r="A7" s="42">
        <v>5.0</v>
      </c>
      <c r="B7" s="30" t="s">
        <v>62</v>
      </c>
      <c r="C7" s="33" t="s">
        <v>63</v>
      </c>
      <c r="D7" s="35" t="s">
        <v>32</v>
      </c>
      <c r="E7" s="35" t="s">
        <v>38</v>
      </c>
      <c r="F7" s="35" t="s">
        <v>61</v>
      </c>
      <c r="G7" s="35" t="s">
        <v>37</v>
      </c>
      <c r="H7" s="35" t="s">
        <v>33</v>
      </c>
      <c r="I7" s="35" t="s">
        <v>65</v>
      </c>
      <c r="J7" s="35" t="s">
        <v>34</v>
      </c>
      <c r="K7" s="35" t="s">
        <v>49</v>
      </c>
      <c r="L7" s="35" t="s">
        <v>50</v>
      </c>
      <c r="M7" s="51">
        <v>0.93</v>
      </c>
      <c r="N7" s="35" t="s">
        <v>40</v>
      </c>
    </row>
    <row r="8">
      <c r="A8" s="27">
        <v>6.0</v>
      </c>
      <c r="B8" s="30" t="s">
        <v>70</v>
      </c>
      <c r="C8" s="33" t="s">
        <v>71</v>
      </c>
      <c r="D8" s="35" t="s">
        <v>45</v>
      </c>
      <c r="E8" s="35" t="s">
        <v>72</v>
      </c>
      <c r="F8" s="35" t="s">
        <v>72</v>
      </c>
      <c r="G8" s="35" t="s">
        <v>55</v>
      </c>
      <c r="H8" s="35" t="s">
        <v>37</v>
      </c>
      <c r="I8" s="35" t="s">
        <v>34</v>
      </c>
      <c r="J8" s="35" t="s">
        <v>34</v>
      </c>
      <c r="K8" s="35" t="s">
        <v>50</v>
      </c>
      <c r="L8" s="35" t="s">
        <v>34</v>
      </c>
      <c r="M8" s="39">
        <v>0.9214</v>
      </c>
      <c r="N8" s="35" t="s">
        <v>40</v>
      </c>
    </row>
    <row r="9">
      <c r="A9" s="42">
        <v>7.0</v>
      </c>
      <c r="B9" s="30" t="s">
        <v>73</v>
      </c>
      <c r="C9" s="33" t="s">
        <v>74</v>
      </c>
      <c r="D9" s="35" t="s">
        <v>32</v>
      </c>
      <c r="E9" s="35" t="s">
        <v>61</v>
      </c>
      <c r="F9" s="35" t="s">
        <v>38</v>
      </c>
      <c r="G9" s="35" t="s">
        <v>36</v>
      </c>
      <c r="H9" s="35" t="s">
        <v>37</v>
      </c>
      <c r="I9" s="35" t="s">
        <v>47</v>
      </c>
      <c r="J9" s="35" t="s">
        <v>49</v>
      </c>
      <c r="K9" s="35" t="s">
        <v>54</v>
      </c>
      <c r="L9" s="35" t="s">
        <v>55</v>
      </c>
      <c r="M9" s="39">
        <v>0.9214</v>
      </c>
      <c r="N9" s="35" t="s">
        <v>40</v>
      </c>
    </row>
    <row r="10">
      <c r="A10" s="42">
        <v>8.0</v>
      </c>
      <c r="B10" s="30" t="s">
        <v>77</v>
      </c>
      <c r="C10" s="33" t="s">
        <v>78</v>
      </c>
      <c r="D10" s="35" t="s">
        <v>45</v>
      </c>
      <c r="E10" s="35" t="s">
        <v>47</v>
      </c>
      <c r="F10" s="35" t="s">
        <v>61</v>
      </c>
      <c r="G10" s="35" t="s">
        <v>34</v>
      </c>
      <c r="H10" s="35" t="s">
        <v>37</v>
      </c>
      <c r="I10" s="35" t="s">
        <v>54</v>
      </c>
      <c r="J10" s="35" t="s">
        <v>49</v>
      </c>
      <c r="K10" s="35" t="s">
        <v>38</v>
      </c>
      <c r="L10" s="35" t="s">
        <v>50</v>
      </c>
      <c r="M10" s="39">
        <v>0.9171</v>
      </c>
      <c r="N10" s="35" t="s">
        <v>40</v>
      </c>
    </row>
    <row r="11">
      <c r="A11" s="42">
        <v>9.0</v>
      </c>
      <c r="B11" s="30" t="s">
        <v>80</v>
      </c>
      <c r="C11" s="33" t="s">
        <v>81</v>
      </c>
      <c r="D11" s="35" t="s">
        <v>45</v>
      </c>
      <c r="E11" s="35" t="s">
        <v>49</v>
      </c>
      <c r="F11" s="35" t="s">
        <v>61</v>
      </c>
      <c r="G11" s="35" t="s">
        <v>37</v>
      </c>
      <c r="H11" s="35" t="s">
        <v>38</v>
      </c>
      <c r="I11" s="35" t="s">
        <v>85</v>
      </c>
      <c r="J11" s="35" t="s">
        <v>49</v>
      </c>
      <c r="K11" s="35" t="s">
        <v>49</v>
      </c>
      <c r="L11" s="35" t="s">
        <v>56</v>
      </c>
      <c r="M11" s="39">
        <v>0.9071</v>
      </c>
      <c r="N11" s="35" t="s">
        <v>40</v>
      </c>
    </row>
    <row r="12">
      <c r="A12" s="42">
        <v>10.0</v>
      </c>
      <c r="B12" s="30" t="s">
        <v>87</v>
      </c>
      <c r="C12" s="33" t="s">
        <v>88</v>
      </c>
      <c r="D12" s="35" t="s">
        <v>32</v>
      </c>
      <c r="E12" s="35" t="s">
        <v>90</v>
      </c>
      <c r="F12" s="35" t="s">
        <v>54</v>
      </c>
      <c r="G12" s="35" t="s">
        <v>37</v>
      </c>
      <c r="H12" s="35" t="s">
        <v>33</v>
      </c>
      <c r="I12" s="35" t="s">
        <v>94</v>
      </c>
      <c r="J12" s="35" t="s">
        <v>65</v>
      </c>
      <c r="K12" s="35" t="s">
        <v>65</v>
      </c>
      <c r="L12" s="35" t="s">
        <v>48</v>
      </c>
      <c r="M12" s="39">
        <v>0.9057</v>
      </c>
      <c r="N12" s="35" t="s">
        <v>40</v>
      </c>
    </row>
    <row r="13">
      <c r="A13" s="27">
        <v>11.0</v>
      </c>
      <c r="B13" s="30" t="s">
        <v>100</v>
      </c>
      <c r="C13" s="33" t="s">
        <v>101</v>
      </c>
      <c r="D13" s="35" t="s">
        <v>32</v>
      </c>
      <c r="E13" s="35" t="s">
        <v>47</v>
      </c>
      <c r="F13" s="35" t="s">
        <v>47</v>
      </c>
      <c r="G13" s="35" t="s">
        <v>37</v>
      </c>
      <c r="H13" s="35" t="s">
        <v>36</v>
      </c>
      <c r="I13" s="35" t="s">
        <v>103</v>
      </c>
      <c r="J13" s="35" t="s">
        <v>38</v>
      </c>
      <c r="K13" s="35" t="s">
        <v>38</v>
      </c>
      <c r="L13" s="35" t="s">
        <v>55</v>
      </c>
      <c r="M13" s="51">
        <v>0.9</v>
      </c>
      <c r="N13" s="35" t="s">
        <v>104</v>
      </c>
    </row>
    <row r="14">
      <c r="A14" s="27">
        <v>12.0</v>
      </c>
      <c r="B14" s="30" t="s">
        <v>106</v>
      </c>
      <c r="C14" s="33" t="s">
        <v>101</v>
      </c>
      <c r="D14" s="35" t="s">
        <v>45</v>
      </c>
      <c r="E14" s="35" t="s">
        <v>55</v>
      </c>
      <c r="F14" s="35" t="s">
        <v>108</v>
      </c>
      <c r="G14" s="35" t="s">
        <v>54</v>
      </c>
      <c r="H14" s="35" t="s">
        <v>37</v>
      </c>
      <c r="I14" s="35" t="s">
        <v>50</v>
      </c>
      <c r="J14" s="35" t="s">
        <v>38</v>
      </c>
      <c r="K14" s="35" t="s">
        <v>85</v>
      </c>
      <c r="L14" s="35" t="s">
        <v>48</v>
      </c>
      <c r="M14" s="39">
        <v>0.8986</v>
      </c>
      <c r="N14" s="35" t="s">
        <v>104</v>
      </c>
    </row>
    <row r="15">
      <c r="A15" s="42">
        <v>13.0</v>
      </c>
      <c r="B15" s="30" t="s">
        <v>114</v>
      </c>
      <c r="C15" s="33" t="s">
        <v>115</v>
      </c>
      <c r="D15" s="35" t="s">
        <v>45</v>
      </c>
      <c r="E15" s="35" t="s">
        <v>90</v>
      </c>
      <c r="F15" s="35" t="s">
        <v>72</v>
      </c>
      <c r="G15" s="35" t="s">
        <v>37</v>
      </c>
      <c r="H15" s="35" t="s">
        <v>38</v>
      </c>
      <c r="I15" s="35" t="s">
        <v>117</v>
      </c>
      <c r="J15" s="35" t="s">
        <v>60</v>
      </c>
      <c r="K15" s="35" t="s">
        <v>55</v>
      </c>
      <c r="L15" s="35" t="s">
        <v>56</v>
      </c>
      <c r="M15" s="39">
        <v>0.8957</v>
      </c>
      <c r="N15" s="35" t="s">
        <v>104</v>
      </c>
    </row>
    <row r="16">
      <c r="A16" s="42">
        <v>14.0</v>
      </c>
      <c r="B16" s="30" t="s">
        <v>120</v>
      </c>
      <c r="C16" s="33" t="s">
        <v>121</v>
      </c>
      <c r="D16" s="35" t="s">
        <v>45</v>
      </c>
      <c r="E16" s="35" t="s">
        <v>55</v>
      </c>
      <c r="F16" s="35" t="s">
        <v>94</v>
      </c>
      <c r="G16" s="35" t="s">
        <v>37</v>
      </c>
      <c r="H16" s="35" t="s">
        <v>55</v>
      </c>
      <c r="I16" s="35" t="s">
        <v>103</v>
      </c>
      <c r="J16" s="35" t="s">
        <v>49</v>
      </c>
      <c r="K16" s="35" t="s">
        <v>90</v>
      </c>
      <c r="L16" s="35" t="s">
        <v>48</v>
      </c>
      <c r="M16" s="39">
        <v>0.8943</v>
      </c>
      <c r="N16" s="35" t="s">
        <v>104</v>
      </c>
    </row>
    <row r="17">
      <c r="A17" s="42">
        <v>15.0</v>
      </c>
      <c r="B17" s="30" t="s">
        <v>124</v>
      </c>
      <c r="C17" s="33" t="s">
        <v>125</v>
      </c>
      <c r="D17" s="35" t="s">
        <v>45</v>
      </c>
      <c r="E17" s="35" t="s">
        <v>61</v>
      </c>
      <c r="F17" s="35" t="s">
        <v>85</v>
      </c>
      <c r="G17" s="35" t="s">
        <v>37</v>
      </c>
      <c r="H17" s="35" t="s">
        <v>55</v>
      </c>
      <c r="I17" s="35" t="s">
        <v>126</v>
      </c>
      <c r="J17" s="35" t="s">
        <v>47</v>
      </c>
      <c r="K17" s="35" t="s">
        <v>55</v>
      </c>
      <c r="L17" s="35" t="s">
        <v>56</v>
      </c>
      <c r="M17" s="51">
        <v>0.89</v>
      </c>
      <c r="N17" s="35" t="s">
        <v>104</v>
      </c>
    </row>
    <row r="18">
      <c r="A18" s="42">
        <v>16.0</v>
      </c>
      <c r="B18" s="30" t="s">
        <v>127</v>
      </c>
      <c r="C18" s="33" t="s">
        <v>128</v>
      </c>
      <c r="D18" s="35" t="s">
        <v>45</v>
      </c>
      <c r="E18" s="35" t="s">
        <v>49</v>
      </c>
      <c r="F18" s="35" t="s">
        <v>117</v>
      </c>
      <c r="G18" s="35" t="s">
        <v>60</v>
      </c>
      <c r="H18" s="35" t="s">
        <v>37</v>
      </c>
      <c r="I18" s="35" t="s">
        <v>38</v>
      </c>
      <c r="J18" s="35" t="s">
        <v>49</v>
      </c>
      <c r="K18" s="35" t="s">
        <v>103</v>
      </c>
      <c r="L18" s="35" t="s">
        <v>33</v>
      </c>
      <c r="M18" s="39">
        <v>0.8871</v>
      </c>
      <c r="N18" s="35" t="s">
        <v>104</v>
      </c>
    </row>
    <row r="19">
      <c r="A19" s="27">
        <v>17.0</v>
      </c>
      <c r="B19" s="30" t="s">
        <v>129</v>
      </c>
      <c r="C19" s="33" t="s">
        <v>130</v>
      </c>
      <c r="D19" s="35" t="s">
        <v>32</v>
      </c>
      <c r="E19" s="35" t="s">
        <v>90</v>
      </c>
      <c r="F19" s="35" t="s">
        <v>103</v>
      </c>
      <c r="G19" s="35" t="s">
        <v>37</v>
      </c>
      <c r="H19" s="35" t="s">
        <v>36</v>
      </c>
      <c r="I19" s="35" t="s">
        <v>131</v>
      </c>
      <c r="J19" s="35" t="s">
        <v>49</v>
      </c>
      <c r="K19" s="35" t="s">
        <v>47</v>
      </c>
      <c r="L19" s="35" t="s">
        <v>34</v>
      </c>
      <c r="M19" s="39">
        <v>0.8829</v>
      </c>
      <c r="N19" s="35" t="s">
        <v>104</v>
      </c>
    </row>
    <row r="20">
      <c r="A20" s="42">
        <v>18.0</v>
      </c>
      <c r="B20" s="30" t="s">
        <v>132</v>
      </c>
      <c r="C20" s="33" t="s">
        <v>133</v>
      </c>
      <c r="D20" s="35" t="s">
        <v>45</v>
      </c>
      <c r="E20" s="35" t="s">
        <v>60</v>
      </c>
      <c r="F20" s="35" t="s">
        <v>131</v>
      </c>
      <c r="G20" s="35" t="s">
        <v>37</v>
      </c>
      <c r="H20" s="35" t="s">
        <v>38</v>
      </c>
      <c r="I20" s="35" t="s">
        <v>60</v>
      </c>
      <c r="J20" s="35" t="s">
        <v>55</v>
      </c>
      <c r="K20" s="35" t="s">
        <v>90</v>
      </c>
      <c r="L20" s="35" t="s">
        <v>49</v>
      </c>
      <c r="M20" s="51">
        <v>0.88</v>
      </c>
      <c r="N20" s="35" t="s">
        <v>104</v>
      </c>
    </row>
    <row r="21">
      <c r="A21" s="42">
        <v>19.0</v>
      </c>
      <c r="B21" s="30" t="s">
        <v>134</v>
      </c>
      <c r="C21" s="33" t="s">
        <v>135</v>
      </c>
      <c r="D21" s="35" t="s">
        <v>45</v>
      </c>
      <c r="E21" s="35" t="s">
        <v>72</v>
      </c>
      <c r="F21" s="35" t="s">
        <v>72</v>
      </c>
      <c r="G21" s="35" t="s">
        <v>37</v>
      </c>
      <c r="H21" s="35" t="s">
        <v>90</v>
      </c>
      <c r="I21" s="35" t="s">
        <v>65</v>
      </c>
      <c r="J21" s="35" t="s">
        <v>47</v>
      </c>
      <c r="K21" s="35" t="s">
        <v>72</v>
      </c>
      <c r="L21" s="35" t="s">
        <v>90</v>
      </c>
      <c r="M21" s="39">
        <v>0.8729</v>
      </c>
      <c r="N21" s="35" t="s">
        <v>104</v>
      </c>
    </row>
    <row r="22">
      <c r="A22" s="42">
        <v>20.0</v>
      </c>
      <c r="B22" s="30" t="s">
        <v>138</v>
      </c>
      <c r="C22" s="33" t="s">
        <v>139</v>
      </c>
      <c r="D22" s="35" t="s">
        <v>32</v>
      </c>
      <c r="E22" s="35" t="s">
        <v>61</v>
      </c>
      <c r="F22" s="35" t="s">
        <v>108</v>
      </c>
      <c r="G22" s="35" t="s">
        <v>37</v>
      </c>
      <c r="H22" s="35" t="s">
        <v>55</v>
      </c>
      <c r="I22" s="35" t="s">
        <v>94</v>
      </c>
      <c r="J22" s="35" t="s">
        <v>38</v>
      </c>
      <c r="K22" s="35" t="s">
        <v>72</v>
      </c>
      <c r="L22" s="35" t="s">
        <v>65</v>
      </c>
      <c r="M22" s="39">
        <v>0.8714</v>
      </c>
      <c r="N22" s="35" t="s">
        <v>104</v>
      </c>
    </row>
    <row r="23">
      <c r="A23" s="42">
        <v>21.0</v>
      </c>
      <c r="B23" s="30" t="s">
        <v>141</v>
      </c>
      <c r="C23" s="33" t="s">
        <v>142</v>
      </c>
      <c r="D23" s="35" t="s">
        <v>45</v>
      </c>
      <c r="E23" s="35" t="s">
        <v>117</v>
      </c>
      <c r="F23" s="35" t="s">
        <v>85</v>
      </c>
      <c r="G23" s="35" t="s">
        <v>47</v>
      </c>
      <c r="H23" s="35" t="s">
        <v>37</v>
      </c>
      <c r="I23" s="35" t="s">
        <v>50</v>
      </c>
      <c r="J23" s="35" t="s">
        <v>60</v>
      </c>
      <c r="K23" s="35" t="s">
        <v>117</v>
      </c>
      <c r="L23" s="35" t="s">
        <v>36</v>
      </c>
      <c r="M23" s="39">
        <v>0.8686</v>
      </c>
      <c r="N23" s="35" t="s">
        <v>104</v>
      </c>
    </row>
    <row r="24">
      <c r="A24" s="27">
        <v>22.0</v>
      </c>
      <c r="B24" s="30" t="s">
        <v>143</v>
      </c>
      <c r="C24" s="33" t="s">
        <v>133</v>
      </c>
      <c r="D24" s="35" t="s">
        <v>45</v>
      </c>
      <c r="E24" s="35" t="s">
        <v>47</v>
      </c>
      <c r="F24" s="35" t="s">
        <v>117</v>
      </c>
      <c r="G24" s="35" t="s">
        <v>37</v>
      </c>
      <c r="H24" s="35" t="s">
        <v>126</v>
      </c>
      <c r="I24" s="35" t="s">
        <v>34</v>
      </c>
      <c r="J24" s="35" t="s">
        <v>61</v>
      </c>
      <c r="K24" s="35" t="s">
        <v>65</v>
      </c>
      <c r="L24" s="35" t="s">
        <v>144</v>
      </c>
      <c r="M24" s="39">
        <v>0.8671</v>
      </c>
      <c r="N24" s="35" t="s">
        <v>104</v>
      </c>
    </row>
    <row r="25">
      <c r="A25" s="27">
        <v>23.0</v>
      </c>
      <c r="B25" s="30" t="s">
        <v>145</v>
      </c>
      <c r="C25" s="33" t="s">
        <v>146</v>
      </c>
      <c r="D25" s="35" t="s">
        <v>32</v>
      </c>
      <c r="E25" s="35" t="s">
        <v>126</v>
      </c>
      <c r="F25" s="35" t="s">
        <v>47</v>
      </c>
      <c r="G25" s="35" t="s">
        <v>72</v>
      </c>
      <c r="H25" s="35" t="s">
        <v>37</v>
      </c>
      <c r="I25" s="35" t="s">
        <v>108</v>
      </c>
      <c r="J25" s="35" t="s">
        <v>72</v>
      </c>
      <c r="K25" s="35" t="s">
        <v>65</v>
      </c>
      <c r="L25" s="35" t="s">
        <v>34</v>
      </c>
      <c r="M25" s="39">
        <v>0.8671</v>
      </c>
      <c r="N25" s="35" t="s">
        <v>104</v>
      </c>
    </row>
    <row r="26">
      <c r="A26" s="42">
        <v>24.0</v>
      </c>
      <c r="B26" s="30" t="s">
        <v>149</v>
      </c>
      <c r="C26" s="33" t="s">
        <v>150</v>
      </c>
      <c r="D26" s="35" t="s">
        <v>45</v>
      </c>
      <c r="E26" s="35" t="s">
        <v>151</v>
      </c>
      <c r="F26" s="35" t="s">
        <v>65</v>
      </c>
      <c r="G26" s="35" t="s">
        <v>49</v>
      </c>
      <c r="H26" s="35" t="s">
        <v>37</v>
      </c>
      <c r="I26" s="35" t="s">
        <v>152</v>
      </c>
      <c r="J26" s="35" t="s">
        <v>60</v>
      </c>
      <c r="K26" s="35" t="s">
        <v>65</v>
      </c>
      <c r="L26" s="35" t="s">
        <v>38</v>
      </c>
      <c r="M26" s="39">
        <v>0.8629</v>
      </c>
      <c r="N26" s="35" t="s">
        <v>104</v>
      </c>
    </row>
    <row r="27">
      <c r="A27" s="42">
        <v>25.0</v>
      </c>
      <c r="B27" s="30" t="s">
        <v>153</v>
      </c>
      <c r="C27" s="33" t="s">
        <v>154</v>
      </c>
      <c r="D27" s="35" t="s">
        <v>32</v>
      </c>
      <c r="E27" s="35" t="s">
        <v>72</v>
      </c>
      <c r="F27" s="35" t="s">
        <v>152</v>
      </c>
      <c r="G27" s="35" t="s">
        <v>65</v>
      </c>
      <c r="H27" s="35" t="s">
        <v>37</v>
      </c>
      <c r="I27" s="35" t="s">
        <v>54</v>
      </c>
      <c r="J27" s="35" t="s">
        <v>72</v>
      </c>
      <c r="K27" s="35" t="s">
        <v>60</v>
      </c>
      <c r="L27" s="35" t="s">
        <v>47</v>
      </c>
      <c r="M27" s="51">
        <v>0.86</v>
      </c>
      <c r="N27" s="35" t="s">
        <v>104</v>
      </c>
    </row>
    <row r="28">
      <c r="A28" s="42">
        <v>26.0</v>
      </c>
      <c r="B28" s="30" t="s">
        <v>156</v>
      </c>
      <c r="C28" s="33" t="s">
        <v>157</v>
      </c>
      <c r="D28" s="35" t="s">
        <v>32</v>
      </c>
      <c r="E28" s="35" t="s">
        <v>117</v>
      </c>
      <c r="F28" s="35" t="s">
        <v>49</v>
      </c>
      <c r="G28" s="35" t="s">
        <v>72</v>
      </c>
      <c r="H28" s="35" t="s">
        <v>37</v>
      </c>
      <c r="I28" s="35" t="s">
        <v>108</v>
      </c>
      <c r="J28" s="35" t="s">
        <v>108</v>
      </c>
      <c r="K28" s="35" t="s">
        <v>126</v>
      </c>
      <c r="L28" s="35" t="s">
        <v>49</v>
      </c>
      <c r="M28" s="39">
        <v>0.8571</v>
      </c>
      <c r="N28" s="35" t="s">
        <v>104</v>
      </c>
    </row>
    <row r="29">
      <c r="A29" s="42">
        <v>27.0</v>
      </c>
      <c r="B29" s="30" t="s">
        <v>158</v>
      </c>
      <c r="C29" s="33" t="s">
        <v>159</v>
      </c>
      <c r="D29" s="35" t="s">
        <v>32</v>
      </c>
      <c r="E29" s="35" t="s">
        <v>60</v>
      </c>
      <c r="F29" s="35" t="s">
        <v>131</v>
      </c>
      <c r="G29" s="35" t="s">
        <v>37</v>
      </c>
      <c r="H29" s="35" t="s">
        <v>49</v>
      </c>
      <c r="I29" s="35" t="s">
        <v>126</v>
      </c>
      <c r="J29" s="35" t="s">
        <v>90</v>
      </c>
      <c r="K29" s="35" t="s">
        <v>85</v>
      </c>
      <c r="L29" s="35" t="s">
        <v>49</v>
      </c>
      <c r="M29" s="39">
        <v>0.8543</v>
      </c>
      <c r="N29" s="35" t="s">
        <v>104</v>
      </c>
    </row>
    <row r="30">
      <c r="A30" s="27">
        <v>28.0</v>
      </c>
      <c r="B30" s="30" t="s">
        <v>160</v>
      </c>
      <c r="C30" s="33" t="s">
        <v>161</v>
      </c>
      <c r="D30" s="35" t="s">
        <v>45</v>
      </c>
      <c r="E30" s="35" t="s">
        <v>94</v>
      </c>
      <c r="F30" s="35" t="s">
        <v>72</v>
      </c>
      <c r="G30" s="35" t="s">
        <v>37</v>
      </c>
      <c r="H30" s="35" t="s">
        <v>72</v>
      </c>
      <c r="I30" s="35" t="s">
        <v>54</v>
      </c>
      <c r="J30" s="35" t="s">
        <v>72</v>
      </c>
      <c r="K30" s="35" t="s">
        <v>103</v>
      </c>
      <c r="L30" s="35" t="s">
        <v>38</v>
      </c>
      <c r="M30" s="39">
        <v>0.8514</v>
      </c>
      <c r="N30" s="35" t="s">
        <v>104</v>
      </c>
    </row>
    <row r="31">
      <c r="A31" s="42">
        <v>29.0</v>
      </c>
      <c r="B31" s="30" t="s">
        <v>162</v>
      </c>
      <c r="C31" s="33" t="s">
        <v>163</v>
      </c>
      <c r="D31" s="35" t="s">
        <v>45</v>
      </c>
      <c r="E31" s="35" t="s">
        <v>94</v>
      </c>
      <c r="F31" s="35" t="s">
        <v>103</v>
      </c>
      <c r="G31" s="35" t="s">
        <v>65</v>
      </c>
      <c r="H31" s="35" t="s">
        <v>37</v>
      </c>
      <c r="I31" s="35" t="s">
        <v>164</v>
      </c>
      <c r="J31" s="35" t="s">
        <v>90</v>
      </c>
      <c r="K31" s="35" t="s">
        <v>49</v>
      </c>
      <c r="L31" s="35" t="s">
        <v>48</v>
      </c>
      <c r="M31" s="39">
        <v>0.8514</v>
      </c>
      <c r="N31" s="35" t="s">
        <v>104</v>
      </c>
    </row>
    <row r="32">
      <c r="A32" s="42">
        <v>30.0</v>
      </c>
      <c r="B32" s="30" t="s">
        <v>166</v>
      </c>
      <c r="C32" s="33" t="s">
        <v>167</v>
      </c>
      <c r="D32" s="35" t="s">
        <v>45</v>
      </c>
      <c r="E32" s="35" t="s">
        <v>60</v>
      </c>
      <c r="F32" s="35" t="s">
        <v>164</v>
      </c>
      <c r="G32" s="35" t="s">
        <v>55</v>
      </c>
      <c r="H32" s="35" t="s">
        <v>37</v>
      </c>
      <c r="I32" s="35" t="s">
        <v>126</v>
      </c>
      <c r="J32" s="35" t="s">
        <v>65</v>
      </c>
      <c r="K32" s="35" t="s">
        <v>168</v>
      </c>
      <c r="L32" s="35" t="s">
        <v>56</v>
      </c>
      <c r="M32" s="51">
        <v>0.85</v>
      </c>
      <c r="N32" s="35" t="s">
        <v>104</v>
      </c>
    </row>
    <row r="33">
      <c r="A33" s="42">
        <v>31.0</v>
      </c>
      <c r="B33" s="30" t="s">
        <v>169</v>
      </c>
      <c r="C33" s="33" t="s">
        <v>170</v>
      </c>
      <c r="D33" s="35" t="s">
        <v>32</v>
      </c>
      <c r="E33" s="35" t="s">
        <v>60</v>
      </c>
      <c r="F33" s="35" t="s">
        <v>151</v>
      </c>
      <c r="G33" s="35" t="s">
        <v>37</v>
      </c>
      <c r="H33" s="35" t="s">
        <v>55</v>
      </c>
      <c r="I33" s="35" t="s">
        <v>108</v>
      </c>
      <c r="J33" s="35" t="s">
        <v>126</v>
      </c>
      <c r="K33" s="35" t="s">
        <v>103</v>
      </c>
      <c r="L33" s="35" t="s">
        <v>55</v>
      </c>
      <c r="M33" s="39">
        <v>0.8486</v>
      </c>
      <c r="N33" s="35" t="s">
        <v>104</v>
      </c>
    </row>
    <row r="34">
      <c r="A34" s="42">
        <v>32.0</v>
      </c>
      <c r="B34" s="30" t="s">
        <v>172</v>
      </c>
      <c r="C34" s="33" t="s">
        <v>173</v>
      </c>
      <c r="D34" s="35" t="s">
        <v>45</v>
      </c>
      <c r="E34" s="35" t="s">
        <v>61</v>
      </c>
      <c r="F34" s="35" t="s">
        <v>60</v>
      </c>
      <c r="G34" s="35" t="s">
        <v>108</v>
      </c>
      <c r="H34" s="35" t="s">
        <v>37</v>
      </c>
      <c r="I34" s="35" t="s">
        <v>174</v>
      </c>
      <c r="J34" s="35" t="s">
        <v>47</v>
      </c>
      <c r="K34" s="35" t="s">
        <v>60</v>
      </c>
      <c r="L34" s="35" t="s">
        <v>38</v>
      </c>
      <c r="M34" s="39">
        <v>0.8471</v>
      </c>
      <c r="N34" s="35" t="s">
        <v>104</v>
      </c>
    </row>
    <row r="35">
      <c r="A35" s="27">
        <v>33.0</v>
      </c>
      <c r="B35" s="30" t="s">
        <v>175</v>
      </c>
      <c r="C35" s="33" t="s">
        <v>176</v>
      </c>
      <c r="D35" s="35" t="s">
        <v>45</v>
      </c>
      <c r="E35" s="35" t="s">
        <v>90</v>
      </c>
      <c r="F35" s="35" t="s">
        <v>60</v>
      </c>
      <c r="G35" s="35" t="s">
        <v>117</v>
      </c>
      <c r="H35" s="35" t="s">
        <v>37</v>
      </c>
      <c r="I35" s="35" t="s">
        <v>103</v>
      </c>
      <c r="J35" s="35" t="s">
        <v>47</v>
      </c>
      <c r="K35" s="35" t="s">
        <v>47</v>
      </c>
      <c r="L35" s="35" t="s">
        <v>126</v>
      </c>
      <c r="M35" s="39">
        <v>0.8471</v>
      </c>
      <c r="N35" s="35" t="s">
        <v>104</v>
      </c>
    </row>
    <row r="36">
      <c r="A36" s="27">
        <v>34.0</v>
      </c>
      <c r="B36" s="30" t="s">
        <v>178</v>
      </c>
      <c r="C36" s="33" t="s">
        <v>179</v>
      </c>
      <c r="D36" s="35" t="s">
        <v>45</v>
      </c>
      <c r="E36" s="35" t="s">
        <v>103</v>
      </c>
      <c r="F36" s="35" t="s">
        <v>144</v>
      </c>
      <c r="G36" s="35" t="s">
        <v>108</v>
      </c>
      <c r="H36" s="35" t="s">
        <v>37</v>
      </c>
      <c r="I36" s="35" t="s">
        <v>131</v>
      </c>
      <c r="J36" s="35" t="s">
        <v>55</v>
      </c>
      <c r="K36" s="35" t="s">
        <v>144</v>
      </c>
      <c r="L36" s="35" t="s">
        <v>33</v>
      </c>
      <c r="M36" s="39">
        <v>0.8471</v>
      </c>
      <c r="N36" s="35" t="s">
        <v>104</v>
      </c>
    </row>
    <row r="37">
      <c r="A37" s="42">
        <v>35.0</v>
      </c>
      <c r="B37" s="30" t="s">
        <v>180</v>
      </c>
      <c r="C37" s="33" t="s">
        <v>181</v>
      </c>
      <c r="D37" s="35" t="s">
        <v>45</v>
      </c>
      <c r="E37" s="35" t="s">
        <v>103</v>
      </c>
      <c r="F37" s="35" t="s">
        <v>85</v>
      </c>
      <c r="G37" s="35" t="s">
        <v>37</v>
      </c>
      <c r="H37" s="35" t="s">
        <v>38</v>
      </c>
      <c r="I37" s="35" t="s">
        <v>126</v>
      </c>
      <c r="J37" s="35" t="s">
        <v>54</v>
      </c>
      <c r="K37" s="35" t="s">
        <v>72</v>
      </c>
      <c r="L37" s="35" t="s">
        <v>72</v>
      </c>
      <c r="M37" s="39">
        <v>0.8457</v>
      </c>
      <c r="N37" s="35" t="s">
        <v>104</v>
      </c>
    </row>
    <row r="38">
      <c r="A38" s="42">
        <v>36.0</v>
      </c>
      <c r="B38" s="30" t="s">
        <v>183</v>
      </c>
      <c r="C38" s="33" t="s">
        <v>184</v>
      </c>
      <c r="D38" s="35" t="s">
        <v>32</v>
      </c>
      <c r="E38" s="35" t="s">
        <v>117</v>
      </c>
      <c r="F38" s="35" t="s">
        <v>103</v>
      </c>
      <c r="G38" s="35" t="s">
        <v>54</v>
      </c>
      <c r="H38" s="35" t="s">
        <v>37</v>
      </c>
      <c r="I38" s="35" t="s">
        <v>185</v>
      </c>
      <c r="J38" s="35" t="s">
        <v>54</v>
      </c>
      <c r="K38" s="35" t="s">
        <v>90</v>
      </c>
      <c r="L38" s="35" t="s">
        <v>54</v>
      </c>
      <c r="M38" s="39">
        <v>0.8429</v>
      </c>
      <c r="N38" s="35" t="s">
        <v>104</v>
      </c>
    </row>
    <row r="39">
      <c r="A39" s="42">
        <v>37.0</v>
      </c>
      <c r="B39" s="30" t="s">
        <v>188</v>
      </c>
      <c r="C39" s="33" t="s">
        <v>189</v>
      </c>
      <c r="D39" s="35" t="s">
        <v>45</v>
      </c>
      <c r="E39" s="35" t="s">
        <v>47</v>
      </c>
      <c r="F39" s="35" t="s">
        <v>174</v>
      </c>
      <c r="G39" s="35" t="s">
        <v>37</v>
      </c>
      <c r="H39" s="35" t="s">
        <v>117</v>
      </c>
      <c r="I39" s="35" t="s">
        <v>61</v>
      </c>
      <c r="J39" s="35" t="s">
        <v>49</v>
      </c>
      <c r="K39" s="35" t="s">
        <v>103</v>
      </c>
      <c r="L39" s="35" t="s">
        <v>54</v>
      </c>
      <c r="M39" s="39">
        <v>0.8429</v>
      </c>
      <c r="N39" s="35" t="s">
        <v>104</v>
      </c>
    </row>
    <row r="40">
      <c r="A40" s="42">
        <v>38.0</v>
      </c>
      <c r="B40" s="30" t="s">
        <v>190</v>
      </c>
      <c r="C40" s="33" t="s">
        <v>191</v>
      </c>
      <c r="D40" s="35" t="s">
        <v>45</v>
      </c>
      <c r="E40" s="35" t="s">
        <v>54</v>
      </c>
      <c r="F40" s="35" t="s">
        <v>151</v>
      </c>
      <c r="G40" s="35" t="s">
        <v>108</v>
      </c>
      <c r="H40" s="35" t="s">
        <v>37</v>
      </c>
      <c r="I40" s="35" t="s">
        <v>117</v>
      </c>
      <c r="J40" s="35" t="s">
        <v>72</v>
      </c>
      <c r="K40" s="35" t="s">
        <v>117</v>
      </c>
      <c r="L40" s="35" t="s">
        <v>49</v>
      </c>
      <c r="M40" s="39">
        <v>0.8414</v>
      </c>
      <c r="N40" s="35" t="s">
        <v>104</v>
      </c>
    </row>
    <row r="41">
      <c r="A41" s="27">
        <v>39.0</v>
      </c>
      <c r="B41" s="30" t="s">
        <v>194</v>
      </c>
      <c r="C41" s="33" t="s">
        <v>195</v>
      </c>
      <c r="D41" s="35" t="s">
        <v>32</v>
      </c>
      <c r="E41" s="35" t="s">
        <v>103</v>
      </c>
      <c r="F41" s="35" t="s">
        <v>196</v>
      </c>
      <c r="G41" s="35" t="s">
        <v>37</v>
      </c>
      <c r="H41" s="35" t="s">
        <v>38</v>
      </c>
      <c r="I41" s="35" t="s">
        <v>117</v>
      </c>
      <c r="J41" s="35" t="s">
        <v>72</v>
      </c>
      <c r="K41" s="35" t="s">
        <v>108</v>
      </c>
      <c r="L41" s="35" t="s">
        <v>38</v>
      </c>
      <c r="M41" s="39">
        <v>0.8329</v>
      </c>
      <c r="N41" s="35" t="s">
        <v>104</v>
      </c>
    </row>
    <row r="42">
      <c r="A42" s="42">
        <v>40.0</v>
      </c>
      <c r="B42" s="30" t="s">
        <v>197</v>
      </c>
      <c r="C42" s="33" t="s">
        <v>198</v>
      </c>
      <c r="D42" s="35" t="s">
        <v>32</v>
      </c>
      <c r="E42" s="35" t="s">
        <v>108</v>
      </c>
      <c r="F42" s="35" t="s">
        <v>126</v>
      </c>
      <c r="G42" s="35" t="s">
        <v>37</v>
      </c>
      <c r="H42" s="35" t="s">
        <v>90</v>
      </c>
      <c r="I42" s="35" t="s">
        <v>200</v>
      </c>
      <c r="J42" s="35" t="s">
        <v>54</v>
      </c>
      <c r="K42" s="35" t="s">
        <v>126</v>
      </c>
      <c r="L42" s="35" t="s">
        <v>60</v>
      </c>
      <c r="M42" s="39">
        <v>0.8229</v>
      </c>
      <c r="N42" s="35" t="s">
        <v>104</v>
      </c>
    </row>
    <row r="43">
      <c r="A43" s="42">
        <v>41.0</v>
      </c>
      <c r="B43" s="30" t="s">
        <v>201</v>
      </c>
      <c r="C43" s="33" t="s">
        <v>202</v>
      </c>
      <c r="D43" s="35" t="s">
        <v>45</v>
      </c>
      <c r="E43" s="35" t="s">
        <v>108</v>
      </c>
      <c r="F43" s="35" t="s">
        <v>196</v>
      </c>
      <c r="G43" s="35" t="s">
        <v>37</v>
      </c>
      <c r="H43" s="35" t="s">
        <v>144</v>
      </c>
      <c r="I43" s="35" t="s">
        <v>65</v>
      </c>
      <c r="J43" s="35" t="s">
        <v>144</v>
      </c>
      <c r="K43" s="35" t="s">
        <v>203</v>
      </c>
      <c r="L43" s="35" t="s">
        <v>49</v>
      </c>
      <c r="M43" s="51">
        <v>0.82</v>
      </c>
      <c r="N43" s="35" t="s">
        <v>104</v>
      </c>
    </row>
    <row r="44">
      <c r="A44" s="42">
        <v>42.0</v>
      </c>
      <c r="B44" s="30" t="s">
        <v>205</v>
      </c>
      <c r="C44" s="33" t="s">
        <v>206</v>
      </c>
      <c r="D44" s="35" t="s">
        <v>45</v>
      </c>
      <c r="E44" s="35" t="s">
        <v>152</v>
      </c>
      <c r="F44" s="35" t="s">
        <v>164</v>
      </c>
      <c r="G44" s="35" t="s">
        <v>37</v>
      </c>
      <c r="H44" s="35" t="s">
        <v>90</v>
      </c>
      <c r="I44" s="35" t="s">
        <v>108</v>
      </c>
      <c r="J44" s="35" t="s">
        <v>85</v>
      </c>
      <c r="K44" s="35" t="s">
        <v>47</v>
      </c>
      <c r="L44" s="35" t="s">
        <v>65</v>
      </c>
      <c r="M44" s="39">
        <v>0.8186</v>
      </c>
      <c r="N44" s="35" t="s">
        <v>104</v>
      </c>
    </row>
    <row r="45">
      <c r="A45" s="42">
        <v>43.0</v>
      </c>
      <c r="B45" s="30" t="s">
        <v>207</v>
      </c>
      <c r="C45" s="33" t="s">
        <v>208</v>
      </c>
      <c r="D45" s="35" t="s">
        <v>45</v>
      </c>
      <c r="E45" s="35" t="s">
        <v>144</v>
      </c>
      <c r="F45" s="35" t="s">
        <v>131</v>
      </c>
      <c r="G45" s="35" t="s">
        <v>37</v>
      </c>
      <c r="H45" s="35" t="s">
        <v>72</v>
      </c>
      <c r="I45" s="35" t="s">
        <v>174</v>
      </c>
      <c r="J45" s="35" t="s">
        <v>65</v>
      </c>
      <c r="K45" s="35" t="s">
        <v>168</v>
      </c>
      <c r="L45" s="35" t="s">
        <v>49</v>
      </c>
      <c r="M45" s="39">
        <v>0.8157</v>
      </c>
      <c r="N45" s="35" t="s">
        <v>104</v>
      </c>
    </row>
    <row r="46">
      <c r="A46" s="27">
        <v>44.0</v>
      </c>
      <c r="B46" s="30" t="s">
        <v>209</v>
      </c>
      <c r="C46" s="33" t="s">
        <v>210</v>
      </c>
      <c r="D46" s="35" t="s">
        <v>32</v>
      </c>
      <c r="E46" s="35" t="s">
        <v>85</v>
      </c>
      <c r="F46" s="35" t="s">
        <v>47</v>
      </c>
      <c r="G46" s="35" t="s">
        <v>54</v>
      </c>
      <c r="H46" s="35" t="s">
        <v>37</v>
      </c>
      <c r="I46" s="35" t="s">
        <v>212</v>
      </c>
      <c r="J46" s="35" t="s">
        <v>117</v>
      </c>
      <c r="K46" s="35" t="s">
        <v>94</v>
      </c>
      <c r="L46" s="35" t="s">
        <v>65</v>
      </c>
      <c r="M46" s="39">
        <v>0.8143</v>
      </c>
      <c r="N46" s="35" t="s">
        <v>104</v>
      </c>
    </row>
    <row r="47">
      <c r="A47" s="27">
        <v>45.0</v>
      </c>
      <c r="B47" s="30" t="s">
        <v>214</v>
      </c>
      <c r="C47" s="33" t="s">
        <v>215</v>
      </c>
      <c r="D47" s="35" t="s">
        <v>45</v>
      </c>
      <c r="E47" s="35" t="s">
        <v>94</v>
      </c>
      <c r="F47" s="35" t="s">
        <v>103</v>
      </c>
      <c r="G47" s="35" t="s">
        <v>37</v>
      </c>
      <c r="H47" s="35" t="s">
        <v>144</v>
      </c>
      <c r="I47" s="35" t="s">
        <v>152</v>
      </c>
      <c r="J47" s="35" t="s">
        <v>72</v>
      </c>
      <c r="K47" s="35" t="s">
        <v>94</v>
      </c>
      <c r="L47" s="35" t="s">
        <v>72</v>
      </c>
      <c r="M47" s="39">
        <v>0.8143</v>
      </c>
      <c r="N47" s="35" t="s">
        <v>104</v>
      </c>
    </row>
    <row r="48">
      <c r="A48" s="42">
        <v>46.0</v>
      </c>
      <c r="B48" s="30" t="s">
        <v>216</v>
      </c>
      <c r="C48" s="33" t="s">
        <v>217</v>
      </c>
      <c r="D48" s="35" t="s">
        <v>45</v>
      </c>
      <c r="E48" s="35" t="s">
        <v>108</v>
      </c>
      <c r="F48" s="35" t="s">
        <v>218</v>
      </c>
      <c r="G48" s="35" t="s">
        <v>37</v>
      </c>
      <c r="H48" s="35" t="s">
        <v>94</v>
      </c>
      <c r="I48" s="35" t="s">
        <v>196</v>
      </c>
      <c r="J48" s="35" t="s">
        <v>90</v>
      </c>
      <c r="K48" s="35" t="s">
        <v>60</v>
      </c>
      <c r="L48" s="35" t="s">
        <v>54</v>
      </c>
      <c r="M48" s="39">
        <v>0.8114</v>
      </c>
      <c r="N48" s="35" t="s">
        <v>104</v>
      </c>
    </row>
    <row r="49">
      <c r="A49" s="42">
        <v>47.0</v>
      </c>
      <c r="B49" s="30" t="s">
        <v>219</v>
      </c>
      <c r="C49" s="33" t="s">
        <v>220</v>
      </c>
      <c r="D49" s="35" t="s">
        <v>32</v>
      </c>
      <c r="E49" s="35" t="s">
        <v>108</v>
      </c>
      <c r="F49" s="35" t="s">
        <v>174</v>
      </c>
      <c r="G49" s="35" t="s">
        <v>47</v>
      </c>
      <c r="H49" s="35" t="s">
        <v>37</v>
      </c>
      <c r="I49" s="35" t="s">
        <v>131</v>
      </c>
      <c r="J49" s="35" t="s">
        <v>117</v>
      </c>
      <c r="K49" s="35" t="s">
        <v>108</v>
      </c>
      <c r="L49" s="35" t="s">
        <v>72</v>
      </c>
      <c r="M49" s="39">
        <v>0.8057</v>
      </c>
      <c r="N49" s="35" t="s">
        <v>104</v>
      </c>
    </row>
    <row r="50">
      <c r="A50" s="42">
        <v>48.0</v>
      </c>
      <c r="B50" s="30" t="s">
        <v>222</v>
      </c>
      <c r="C50" s="33" t="s">
        <v>223</v>
      </c>
      <c r="D50" s="35" t="s">
        <v>45</v>
      </c>
      <c r="E50" s="35" t="s">
        <v>164</v>
      </c>
      <c r="F50" s="35" t="s">
        <v>174</v>
      </c>
      <c r="G50" s="35" t="s">
        <v>103</v>
      </c>
      <c r="H50" s="35" t="s">
        <v>37</v>
      </c>
      <c r="I50" s="35" t="s">
        <v>90</v>
      </c>
      <c r="J50" s="35" t="s">
        <v>72</v>
      </c>
      <c r="K50" s="35" t="s">
        <v>85</v>
      </c>
      <c r="L50" s="35" t="s">
        <v>38</v>
      </c>
      <c r="M50" s="39">
        <v>0.8043</v>
      </c>
      <c r="N50" s="35" t="s">
        <v>224</v>
      </c>
    </row>
    <row r="51">
      <c r="A51" s="42">
        <v>49.0</v>
      </c>
      <c r="B51" s="30" t="s">
        <v>225</v>
      </c>
      <c r="C51" s="33" t="s">
        <v>226</v>
      </c>
      <c r="D51" s="35" t="s">
        <v>32</v>
      </c>
      <c r="E51" s="35" t="s">
        <v>38</v>
      </c>
      <c r="F51" s="35" t="s">
        <v>227</v>
      </c>
      <c r="G51" s="35" t="s">
        <v>37</v>
      </c>
      <c r="H51" s="35" t="s">
        <v>61</v>
      </c>
      <c r="I51" s="35" t="s">
        <v>196</v>
      </c>
      <c r="J51" s="35" t="s">
        <v>117</v>
      </c>
      <c r="K51" s="35" t="s">
        <v>228</v>
      </c>
      <c r="L51" s="35" t="s">
        <v>34</v>
      </c>
      <c r="M51" s="39">
        <v>0.8029</v>
      </c>
      <c r="N51" s="35" t="s">
        <v>224</v>
      </c>
    </row>
    <row r="52">
      <c r="A52" s="27">
        <v>50.0</v>
      </c>
      <c r="B52" s="30" t="s">
        <v>229</v>
      </c>
      <c r="C52" s="33" t="s">
        <v>230</v>
      </c>
      <c r="D52" s="35" t="s">
        <v>45</v>
      </c>
      <c r="E52" s="35" t="s">
        <v>231</v>
      </c>
      <c r="F52" s="35" t="s">
        <v>168</v>
      </c>
      <c r="G52" s="35" t="s">
        <v>144</v>
      </c>
      <c r="H52" s="35" t="s">
        <v>37</v>
      </c>
      <c r="I52" s="35" t="s">
        <v>108</v>
      </c>
      <c r="J52" s="35" t="s">
        <v>60</v>
      </c>
      <c r="K52" s="35" t="s">
        <v>131</v>
      </c>
      <c r="L52" s="35" t="s">
        <v>49</v>
      </c>
      <c r="M52" s="39">
        <v>0.8</v>
      </c>
      <c r="N52" s="35" t="s">
        <v>224</v>
      </c>
    </row>
    <row r="53">
      <c r="A53" s="42">
        <v>51.0</v>
      </c>
      <c r="B53" s="30" t="s">
        <v>232</v>
      </c>
      <c r="C53" s="33" t="s">
        <v>233</v>
      </c>
      <c r="D53" s="35" t="s">
        <v>32</v>
      </c>
      <c r="E53" s="35" t="s">
        <v>61</v>
      </c>
      <c r="F53" s="35" t="s">
        <v>185</v>
      </c>
      <c r="G53" s="35" t="s">
        <v>37</v>
      </c>
      <c r="H53" s="35" t="s">
        <v>94</v>
      </c>
      <c r="I53" s="35" t="s">
        <v>94</v>
      </c>
      <c r="J53" s="35" t="s">
        <v>152</v>
      </c>
      <c r="K53" s="35" t="s">
        <v>174</v>
      </c>
      <c r="L53" s="35" t="s">
        <v>61</v>
      </c>
      <c r="M53" s="39">
        <v>0.7929</v>
      </c>
      <c r="N53" s="35" t="s">
        <v>224</v>
      </c>
    </row>
    <row r="54">
      <c r="A54" s="42">
        <v>52.0</v>
      </c>
      <c r="B54" s="30" t="s">
        <v>234</v>
      </c>
      <c r="C54" s="33" t="s">
        <v>235</v>
      </c>
      <c r="D54" s="35" t="s">
        <v>45</v>
      </c>
      <c r="E54" s="35" t="s">
        <v>152</v>
      </c>
      <c r="F54" s="35" t="s">
        <v>174</v>
      </c>
      <c r="G54" s="35" t="s">
        <v>168</v>
      </c>
      <c r="H54" s="35" t="s">
        <v>37</v>
      </c>
      <c r="I54" s="35" t="s">
        <v>94</v>
      </c>
      <c r="J54" s="35" t="s">
        <v>126</v>
      </c>
      <c r="K54" s="35" t="s">
        <v>131</v>
      </c>
      <c r="L54" s="35" t="s">
        <v>54</v>
      </c>
      <c r="M54" s="39">
        <v>0.7929</v>
      </c>
      <c r="N54" s="35" t="s">
        <v>224</v>
      </c>
    </row>
    <row r="55">
      <c r="A55" s="42">
        <v>53.0</v>
      </c>
      <c r="B55" s="30" t="s">
        <v>236</v>
      </c>
      <c r="C55" s="33" t="s">
        <v>237</v>
      </c>
      <c r="D55" s="35" t="s">
        <v>32</v>
      </c>
      <c r="E55" s="35" t="s">
        <v>126</v>
      </c>
      <c r="F55" s="35" t="s">
        <v>238</v>
      </c>
      <c r="G55" s="35" t="s">
        <v>37</v>
      </c>
      <c r="H55" s="35" t="s">
        <v>94</v>
      </c>
      <c r="I55" s="35" t="s">
        <v>103</v>
      </c>
      <c r="J55" s="35" t="s">
        <v>65</v>
      </c>
      <c r="K55" s="35" t="s">
        <v>185</v>
      </c>
      <c r="L55" s="35" t="s">
        <v>38</v>
      </c>
      <c r="M55" s="51">
        <v>0.79</v>
      </c>
      <c r="N55" s="35" t="s">
        <v>224</v>
      </c>
    </row>
    <row r="56">
      <c r="A56" s="42">
        <v>54.0</v>
      </c>
      <c r="B56" s="30" t="s">
        <v>239</v>
      </c>
      <c r="C56" s="33" t="s">
        <v>240</v>
      </c>
      <c r="D56" s="35" t="s">
        <v>45</v>
      </c>
      <c r="E56" s="35" t="s">
        <v>168</v>
      </c>
      <c r="F56" s="35" t="s">
        <v>131</v>
      </c>
      <c r="G56" s="35" t="s">
        <v>37</v>
      </c>
      <c r="H56" s="35" t="s">
        <v>164</v>
      </c>
      <c r="I56" s="35" t="s">
        <v>196</v>
      </c>
      <c r="J56" s="35" t="s">
        <v>90</v>
      </c>
      <c r="K56" s="35" t="s">
        <v>126</v>
      </c>
      <c r="L56" s="35" t="s">
        <v>47</v>
      </c>
      <c r="M56" s="39">
        <v>0.7886</v>
      </c>
      <c r="N56" s="35" t="s">
        <v>224</v>
      </c>
    </row>
    <row r="57">
      <c r="A57" s="27">
        <v>55.0</v>
      </c>
      <c r="B57" s="30" t="s">
        <v>241</v>
      </c>
      <c r="C57" s="33" t="s">
        <v>242</v>
      </c>
      <c r="D57" s="35" t="s">
        <v>45</v>
      </c>
      <c r="E57" s="35" t="s">
        <v>174</v>
      </c>
      <c r="F57" s="35" t="s">
        <v>196</v>
      </c>
      <c r="G57" s="35" t="s">
        <v>144</v>
      </c>
      <c r="H57" s="35" t="s">
        <v>37</v>
      </c>
      <c r="I57" s="35" t="s">
        <v>103</v>
      </c>
      <c r="J57" s="35" t="s">
        <v>126</v>
      </c>
      <c r="K57" s="35" t="s">
        <v>243</v>
      </c>
      <c r="L57" s="35" t="s">
        <v>33</v>
      </c>
      <c r="M57" s="39">
        <v>0.7886</v>
      </c>
      <c r="N57" s="35" t="s">
        <v>224</v>
      </c>
    </row>
    <row r="58">
      <c r="A58" s="27">
        <v>56.0</v>
      </c>
      <c r="B58" s="30" t="s">
        <v>244</v>
      </c>
      <c r="C58" s="33" t="s">
        <v>245</v>
      </c>
      <c r="D58" s="35" t="s">
        <v>45</v>
      </c>
      <c r="E58" s="35" t="s">
        <v>47</v>
      </c>
      <c r="F58" s="35" t="s">
        <v>203</v>
      </c>
      <c r="G58" s="35" t="s">
        <v>37</v>
      </c>
      <c r="H58" s="35" t="s">
        <v>117</v>
      </c>
      <c r="I58" s="35" t="s">
        <v>218</v>
      </c>
      <c r="J58" s="35" t="s">
        <v>60</v>
      </c>
      <c r="K58" s="35" t="s">
        <v>231</v>
      </c>
      <c r="L58" s="35" t="s">
        <v>55</v>
      </c>
      <c r="M58" s="39">
        <v>0.7886</v>
      </c>
      <c r="N58" s="35" t="s">
        <v>224</v>
      </c>
    </row>
    <row r="59">
      <c r="A59" s="42">
        <v>57.0</v>
      </c>
      <c r="B59" s="30" t="s">
        <v>246</v>
      </c>
      <c r="C59" s="33" t="s">
        <v>247</v>
      </c>
      <c r="D59" s="35" t="s">
        <v>32</v>
      </c>
      <c r="E59" s="35" t="s">
        <v>131</v>
      </c>
      <c r="F59" s="35" t="s">
        <v>85</v>
      </c>
      <c r="G59" s="35" t="s">
        <v>103</v>
      </c>
      <c r="H59" s="35" t="s">
        <v>37</v>
      </c>
      <c r="I59" s="35" t="s">
        <v>248</v>
      </c>
      <c r="J59" s="35" t="s">
        <v>65</v>
      </c>
      <c r="K59" s="35" t="s">
        <v>94</v>
      </c>
      <c r="L59" s="35" t="s">
        <v>55</v>
      </c>
      <c r="M59" s="51">
        <v>0.78</v>
      </c>
      <c r="N59" s="35" t="s">
        <v>224</v>
      </c>
    </row>
    <row r="60">
      <c r="A60" s="42">
        <v>58.0</v>
      </c>
      <c r="B60" s="120" t="s">
        <v>249</v>
      </c>
      <c r="C60" s="122" t="s">
        <v>250</v>
      </c>
      <c r="D60" s="123" t="s">
        <v>32</v>
      </c>
      <c r="E60" s="123" t="s">
        <v>90</v>
      </c>
      <c r="F60" s="123" t="s">
        <v>60</v>
      </c>
      <c r="G60" s="123" t="s">
        <v>38</v>
      </c>
      <c r="H60" s="123" t="s">
        <v>37</v>
      </c>
      <c r="I60" s="123" t="s">
        <v>248</v>
      </c>
      <c r="J60" s="123" t="s">
        <v>117</v>
      </c>
      <c r="K60" s="123" t="s">
        <v>212</v>
      </c>
      <c r="L60" s="123" t="s">
        <v>103</v>
      </c>
      <c r="M60" s="125">
        <v>0.7786</v>
      </c>
      <c r="N60" s="123" t="s">
        <v>224</v>
      </c>
    </row>
    <row r="61">
      <c r="A61" s="42">
        <v>59.0</v>
      </c>
      <c r="B61" s="30" t="s">
        <v>252</v>
      </c>
      <c r="C61" s="33" t="s">
        <v>253</v>
      </c>
      <c r="D61" s="35" t="s">
        <v>45</v>
      </c>
      <c r="E61" s="35" t="s">
        <v>152</v>
      </c>
      <c r="F61" s="35" t="s">
        <v>218</v>
      </c>
      <c r="G61" s="35" t="s">
        <v>37</v>
      </c>
      <c r="H61" s="35" t="s">
        <v>126</v>
      </c>
      <c r="I61" s="35" t="s">
        <v>254</v>
      </c>
      <c r="J61" s="35" t="s">
        <v>61</v>
      </c>
      <c r="K61" s="35" t="s">
        <v>108</v>
      </c>
      <c r="L61" s="35" t="s">
        <v>65</v>
      </c>
      <c r="M61" s="39">
        <v>0.7786</v>
      </c>
      <c r="N61" s="35" t="s">
        <v>224</v>
      </c>
    </row>
    <row r="62">
      <c r="A62" s="42">
        <v>60.0</v>
      </c>
      <c r="B62" s="30" t="s">
        <v>255</v>
      </c>
      <c r="C62" s="33" t="s">
        <v>256</v>
      </c>
      <c r="D62" s="35" t="s">
        <v>45</v>
      </c>
      <c r="E62" s="35" t="s">
        <v>61</v>
      </c>
      <c r="F62" s="35" t="s">
        <v>203</v>
      </c>
      <c r="G62" s="35" t="s">
        <v>37</v>
      </c>
      <c r="H62" s="35" t="s">
        <v>103</v>
      </c>
      <c r="I62" s="35" t="s">
        <v>257</v>
      </c>
      <c r="J62" s="35" t="s">
        <v>126</v>
      </c>
      <c r="K62" s="35" t="s">
        <v>94</v>
      </c>
      <c r="L62" s="35" t="s">
        <v>34</v>
      </c>
      <c r="M62" s="39">
        <v>0.7771</v>
      </c>
      <c r="N62" s="35" t="s">
        <v>224</v>
      </c>
    </row>
    <row r="63">
      <c r="A63" s="27">
        <v>61.0</v>
      </c>
      <c r="B63" s="30" t="s">
        <v>258</v>
      </c>
      <c r="C63" s="33" t="s">
        <v>259</v>
      </c>
      <c r="D63" s="35" t="s">
        <v>32</v>
      </c>
      <c r="E63" s="35" t="s">
        <v>144</v>
      </c>
      <c r="F63" s="35" t="s">
        <v>164</v>
      </c>
      <c r="G63" s="35" t="s">
        <v>37</v>
      </c>
      <c r="H63" s="35" t="s">
        <v>117</v>
      </c>
      <c r="I63" s="35" t="s">
        <v>228</v>
      </c>
      <c r="J63" s="35" t="s">
        <v>94</v>
      </c>
      <c r="K63" s="35" t="s">
        <v>152</v>
      </c>
      <c r="L63" s="35" t="s">
        <v>65</v>
      </c>
      <c r="M63" s="39">
        <v>0.7771</v>
      </c>
      <c r="N63" s="35" t="s">
        <v>224</v>
      </c>
    </row>
    <row r="64">
      <c r="A64" s="42">
        <v>62.0</v>
      </c>
      <c r="B64" s="30" t="s">
        <v>260</v>
      </c>
      <c r="C64" s="33" t="s">
        <v>261</v>
      </c>
      <c r="D64" s="35" t="s">
        <v>32</v>
      </c>
      <c r="E64" s="35" t="s">
        <v>168</v>
      </c>
      <c r="F64" s="35" t="s">
        <v>103</v>
      </c>
      <c r="G64" s="35" t="s">
        <v>108</v>
      </c>
      <c r="H64" s="35" t="s">
        <v>37</v>
      </c>
      <c r="I64" s="35" t="s">
        <v>174</v>
      </c>
      <c r="J64" s="35" t="s">
        <v>47</v>
      </c>
      <c r="K64" s="35" t="s">
        <v>231</v>
      </c>
      <c r="L64" s="35" t="s">
        <v>94</v>
      </c>
      <c r="M64" s="39">
        <v>0.7714</v>
      </c>
      <c r="N64" s="35" t="s">
        <v>224</v>
      </c>
    </row>
    <row r="65">
      <c r="A65" s="42">
        <v>63.0</v>
      </c>
      <c r="B65" s="30" t="s">
        <v>262</v>
      </c>
      <c r="C65" s="33" t="s">
        <v>263</v>
      </c>
      <c r="D65" s="35" t="s">
        <v>45</v>
      </c>
      <c r="E65" s="35" t="s">
        <v>174</v>
      </c>
      <c r="F65" s="35" t="s">
        <v>203</v>
      </c>
      <c r="G65" s="35" t="s">
        <v>37</v>
      </c>
      <c r="H65" s="35" t="s">
        <v>126</v>
      </c>
      <c r="I65" s="35" t="s">
        <v>264</v>
      </c>
      <c r="J65" s="35" t="s">
        <v>117</v>
      </c>
      <c r="K65" s="35" t="s">
        <v>144</v>
      </c>
      <c r="L65" s="35" t="s">
        <v>65</v>
      </c>
      <c r="M65" s="39">
        <v>0.7714</v>
      </c>
      <c r="N65" s="35" t="s">
        <v>224</v>
      </c>
    </row>
    <row r="66">
      <c r="A66" s="42">
        <v>64.0</v>
      </c>
      <c r="B66" s="30" t="s">
        <v>265</v>
      </c>
      <c r="C66" s="33" t="s">
        <v>266</v>
      </c>
      <c r="D66" s="35" t="s">
        <v>45</v>
      </c>
      <c r="E66" s="35" t="s">
        <v>94</v>
      </c>
      <c r="F66" s="35" t="s">
        <v>227</v>
      </c>
      <c r="G66" s="35" t="s">
        <v>37</v>
      </c>
      <c r="H66" s="35" t="s">
        <v>85</v>
      </c>
      <c r="I66" s="35" t="s">
        <v>267</v>
      </c>
      <c r="J66" s="35" t="s">
        <v>60</v>
      </c>
      <c r="K66" s="35" t="s">
        <v>203</v>
      </c>
      <c r="L66" s="35" t="s">
        <v>54</v>
      </c>
      <c r="M66" s="39">
        <v>0.7657</v>
      </c>
      <c r="N66" s="35" t="s">
        <v>224</v>
      </c>
    </row>
    <row r="67">
      <c r="A67" s="42">
        <v>65.0</v>
      </c>
      <c r="B67" s="30" t="s">
        <v>268</v>
      </c>
      <c r="C67" s="33" t="s">
        <v>269</v>
      </c>
      <c r="D67" s="35" t="s">
        <v>32</v>
      </c>
      <c r="E67" s="35" t="s">
        <v>196</v>
      </c>
      <c r="F67" s="35" t="s">
        <v>231</v>
      </c>
      <c r="G67" s="35" t="s">
        <v>37</v>
      </c>
      <c r="H67" s="35" t="s">
        <v>117</v>
      </c>
      <c r="I67" s="35" t="s">
        <v>231</v>
      </c>
      <c r="J67" s="35" t="s">
        <v>85</v>
      </c>
      <c r="K67" s="35" t="s">
        <v>152</v>
      </c>
      <c r="L67" s="35" t="s">
        <v>38</v>
      </c>
      <c r="M67" s="39">
        <v>0.7657</v>
      </c>
      <c r="N67" s="35" t="s">
        <v>224</v>
      </c>
    </row>
    <row r="68">
      <c r="A68" s="27">
        <v>66.0</v>
      </c>
      <c r="B68" s="30" t="s">
        <v>271</v>
      </c>
      <c r="C68" s="33" t="s">
        <v>272</v>
      </c>
      <c r="D68" s="35" t="s">
        <v>32</v>
      </c>
      <c r="E68" s="35" t="s">
        <v>151</v>
      </c>
      <c r="F68" s="35" t="s">
        <v>273</v>
      </c>
      <c r="G68" s="35" t="s">
        <v>117</v>
      </c>
      <c r="H68" s="35" t="s">
        <v>37</v>
      </c>
      <c r="I68" s="35" t="s">
        <v>185</v>
      </c>
      <c r="J68" s="35" t="s">
        <v>152</v>
      </c>
      <c r="K68" s="35" t="s">
        <v>203</v>
      </c>
      <c r="L68" s="35" t="s">
        <v>61</v>
      </c>
      <c r="M68" s="39">
        <v>0.7657</v>
      </c>
      <c r="N68" s="35" t="s">
        <v>224</v>
      </c>
    </row>
    <row r="69">
      <c r="A69" s="27">
        <v>67.0</v>
      </c>
      <c r="B69" s="30" t="s">
        <v>274</v>
      </c>
      <c r="C69" s="33" t="s">
        <v>275</v>
      </c>
      <c r="D69" s="35" t="s">
        <v>45</v>
      </c>
      <c r="E69" s="35" t="s">
        <v>231</v>
      </c>
      <c r="F69" s="35" t="s">
        <v>212</v>
      </c>
      <c r="G69" s="35" t="s">
        <v>37</v>
      </c>
      <c r="H69" s="35" t="s">
        <v>152</v>
      </c>
      <c r="I69" s="35" t="s">
        <v>72</v>
      </c>
      <c r="J69" s="35" t="s">
        <v>144</v>
      </c>
      <c r="K69" s="35" t="s">
        <v>276</v>
      </c>
      <c r="L69" s="35" t="s">
        <v>48</v>
      </c>
      <c r="M69" s="39">
        <v>0.7629</v>
      </c>
      <c r="N69" s="35" t="s">
        <v>224</v>
      </c>
    </row>
    <row r="70">
      <c r="A70" s="42">
        <v>68.0</v>
      </c>
      <c r="B70" s="30" t="s">
        <v>277</v>
      </c>
      <c r="C70" s="33" t="s">
        <v>278</v>
      </c>
      <c r="D70" s="35" t="s">
        <v>32</v>
      </c>
      <c r="E70" s="35" t="s">
        <v>203</v>
      </c>
      <c r="F70" s="35" t="s">
        <v>144</v>
      </c>
      <c r="G70" s="35" t="s">
        <v>117</v>
      </c>
      <c r="H70" s="35" t="s">
        <v>37</v>
      </c>
      <c r="I70" s="35" t="s">
        <v>276</v>
      </c>
      <c r="J70" s="35" t="s">
        <v>72</v>
      </c>
      <c r="K70" s="35" t="s">
        <v>174</v>
      </c>
      <c r="L70" s="35" t="s">
        <v>144</v>
      </c>
      <c r="M70" s="39">
        <v>0.7614</v>
      </c>
      <c r="N70" s="35" t="s">
        <v>224</v>
      </c>
    </row>
    <row r="71">
      <c r="A71" s="42">
        <v>69.0</v>
      </c>
      <c r="B71" s="30" t="s">
        <v>279</v>
      </c>
      <c r="C71" s="33" t="s">
        <v>280</v>
      </c>
      <c r="D71" s="35" t="s">
        <v>32</v>
      </c>
      <c r="E71" s="35" t="s">
        <v>131</v>
      </c>
      <c r="F71" s="35" t="s">
        <v>144</v>
      </c>
      <c r="G71" s="35" t="s">
        <v>94</v>
      </c>
      <c r="H71" s="35" t="s">
        <v>37</v>
      </c>
      <c r="I71" s="35" t="s">
        <v>228</v>
      </c>
      <c r="J71" s="35" t="s">
        <v>227</v>
      </c>
      <c r="K71" s="35" t="s">
        <v>185</v>
      </c>
      <c r="L71" s="35" t="s">
        <v>55</v>
      </c>
      <c r="M71" s="51">
        <v>0.76</v>
      </c>
      <c r="N71" s="35" t="s">
        <v>224</v>
      </c>
    </row>
    <row r="72">
      <c r="A72" s="42">
        <v>70.0</v>
      </c>
      <c r="B72" s="30" t="s">
        <v>281</v>
      </c>
      <c r="C72" s="33" t="s">
        <v>282</v>
      </c>
      <c r="D72" s="35" t="s">
        <v>45</v>
      </c>
      <c r="E72" s="35" t="s">
        <v>47</v>
      </c>
      <c r="F72" s="35" t="s">
        <v>203</v>
      </c>
      <c r="G72" s="35" t="s">
        <v>164</v>
      </c>
      <c r="H72" s="35" t="s">
        <v>37</v>
      </c>
      <c r="I72" s="35" t="s">
        <v>218</v>
      </c>
      <c r="J72" s="35" t="s">
        <v>103</v>
      </c>
      <c r="K72" s="35" t="s">
        <v>151</v>
      </c>
      <c r="L72" s="35" t="s">
        <v>126</v>
      </c>
      <c r="M72" s="39">
        <v>0.7586</v>
      </c>
      <c r="N72" s="35" t="s">
        <v>224</v>
      </c>
    </row>
    <row r="73">
      <c r="A73" s="42">
        <v>71.0</v>
      </c>
      <c r="B73" s="30" t="s">
        <v>284</v>
      </c>
      <c r="C73" s="33" t="s">
        <v>285</v>
      </c>
      <c r="D73" s="35" t="s">
        <v>32</v>
      </c>
      <c r="E73" s="35" t="s">
        <v>108</v>
      </c>
      <c r="F73" s="35" t="s">
        <v>117</v>
      </c>
      <c r="G73" s="35" t="s">
        <v>37</v>
      </c>
      <c r="H73" s="35" t="s">
        <v>65</v>
      </c>
      <c r="I73" s="35" t="s">
        <v>286</v>
      </c>
      <c r="J73" s="35" t="s">
        <v>85</v>
      </c>
      <c r="K73" s="35" t="s">
        <v>152</v>
      </c>
      <c r="L73" s="35" t="s">
        <v>61</v>
      </c>
      <c r="M73" s="39">
        <v>0.7557</v>
      </c>
      <c r="N73" s="35" t="s">
        <v>224</v>
      </c>
    </row>
    <row r="74">
      <c r="A74" s="27">
        <v>72.0</v>
      </c>
      <c r="B74" s="30" t="s">
        <v>287</v>
      </c>
      <c r="C74" s="33" t="s">
        <v>288</v>
      </c>
      <c r="D74" s="35" t="s">
        <v>45</v>
      </c>
      <c r="E74" s="35" t="s">
        <v>212</v>
      </c>
      <c r="F74" s="35" t="s">
        <v>174</v>
      </c>
      <c r="G74" s="35" t="s">
        <v>37</v>
      </c>
      <c r="H74" s="35" t="s">
        <v>144</v>
      </c>
      <c r="I74" s="35" t="s">
        <v>264</v>
      </c>
      <c r="J74" s="35" t="s">
        <v>152</v>
      </c>
      <c r="K74" s="35" t="s">
        <v>85</v>
      </c>
      <c r="L74" s="35" t="s">
        <v>54</v>
      </c>
      <c r="M74" s="39">
        <v>0.7529</v>
      </c>
      <c r="N74" s="35" t="s">
        <v>224</v>
      </c>
    </row>
    <row r="75">
      <c r="A75" s="42">
        <v>73.0</v>
      </c>
      <c r="B75" s="30" t="s">
        <v>289</v>
      </c>
      <c r="C75" s="33" t="s">
        <v>290</v>
      </c>
      <c r="D75" s="35" t="s">
        <v>45</v>
      </c>
      <c r="E75" s="35" t="s">
        <v>168</v>
      </c>
      <c r="F75" s="35" t="s">
        <v>218</v>
      </c>
      <c r="G75" s="35" t="s">
        <v>37</v>
      </c>
      <c r="H75" s="35" t="s">
        <v>94</v>
      </c>
      <c r="I75" s="35" t="s">
        <v>164</v>
      </c>
      <c r="J75" s="35" t="s">
        <v>85</v>
      </c>
      <c r="K75" s="35" t="s">
        <v>168</v>
      </c>
      <c r="L75" s="35" t="s">
        <v>47</v>
      </c>
      <c r="M75" s="39">
        <v>0.7529</v>
      </c>
      <c r="N75" s="35" t="s">
        <v>224</v>
      </c>
    </row>
    <row r="76">
      <c r="A76" s="42">
        <v>74.0</v>
      </c>
      <c r="B76" s="30" t="s">
        <v>291</v>
      </c>
      <c r="C76" s="33" t="s">
        <v>292</v>
      </c>
      <c r="D76" s="35" t="s">
        <v>45</v>
      </c>
      <c r="E76" s="35" t="s">
        <v>151</v>
      </c>
      <c r="F76" s="35" t="s">
        <v>164</v>
      </c>
      <c r="G76" s="35" t="s">
        <v>37</v>
      </c>
      <c r="H76" s="35" t="s">
        <v>144</v>
      </c>
      <c r="I76" s="35" t="s">
        <v>103</v>
      </c>
      <c r="J76" s="35" t="s">
        <v>151</v>
      </c>
      <c r="K76" s="35" t="s">
        <v>212</v>
      </c>
      <c r="L76" s="35" t="s">
        <v>94</v>
      </c>
      <c r="M76" s="39">
        <v>0.7529</v>
      </c>
      <c r="N76" s="35" t="s">
        <v>224</v>
      </c>
    </row>
    <row r="77">
      <c r="A77" s="42">
        <v>75.0</v>
      </c>
      <c r="B77" s="30" t="s">
        <v>293</v>
      </c>
      <c r="C77" s="33" t="s">
        <v>294</v>
      </c>
      <c r="D77" s="35" t="s">
        <v>32</v>
      </c>
      <c r="E77" s="35" t="s">
        <v>151</v>
      </c>
      <c r="F77" s="35" t="s">
        <v>174</v>
      </c>
      <c r="G77" s="35" t="s">
        <v>37</v>
      </c>
      <c r="H77" s="35" t="s">
        <v>126</v>
      </c>
      <c r="I77" s="35" t="s">
        <v>295</v>
      </c>
      <c r="J77" s="35" t="s">
        <v>54</v>
      </c>
      <c r="K77" s="35" t="s">
        <v>94</v>
      </c>
      <c r="L77" s="35" t="s">
        <v>60</v>
      </c>
      <c r="M77" s="51">
        <v>0.75</v>
      </c>
      <c r="N77" s="35" t="s">
        <v>224</v>
      </c>
    </row>
    <row r="78">
      <c r="A78" s="42">
        <v>76.0</v>
      </c>
      <c r="B78" s="30" t="s">
        <v>297</v>
      </c>
      <c r="C78" s="33" t="s">
        <v>298</v>
      </c>
      <c r="D78" s="35" t="s">
        <v>45</v>
      </c>
      <c r="E78" s="35" t="s">
        <v>299</v>
      </c>
      <c r="F78" s="35" t="s">
        <v>200</v>
      </c>
      <c r="G78" s="35" t="s">
        <v>212</v>
      </c>
      <c r="H78" s="35" t="s">
        <v>37</v>
      </c>
      <c r="I78" s="35" t="s">
        <v>61</v>
      </c>
      <c r="J78" s="35" t="s">
        <v>60</v>
      </c>
      <c r="K78" s="35" t="s">
        <v>151</v>
      </c>
      <c r="L78" s="35" t="s">
        <v>34</v>
      </c>
      <c r="M78" s="39">
        <v>0.7486</v>
      </c>
      <c r="N78" s="35" t="s">
        <v>224</v>
      </c>
    </row>
    <row r="79">
      <c r="A79" s="27">
        <v>77.0</v>
      </c>
      <c r="B79" s="30" t="s">
        <v>300</v>
      </c>
      <c r="C79" s="33" t="s">
        <v>301</v>
      </c>
      <c r="D79" s="35" t="s">
        <v>45</v>
      </c>
      <c r="E79" s="35" t="s">
        <v>144</v>
      </c>
      <c r="F79" s="35" t="s">
        <v>185</v>
      </c>
      <c r="G79" s="35" t="s">
        <v>37</v>
      </c>
      <c r="H79" s="35" t="s">
        <v>164</v>
      </c>
      <c r="I79" s="35" t="s">
        <v>302</v>
      </c>
      <c r="J79" s="35" t="s">
        <v>126</v>
      </c>
      <c r="K79" s="35" t="s">
        <v>103</v>
      </c>
      <c r="L79" s="35" t="s">
        <v>54</v>
      </c>
      <c r="M79" s="39">
        <v>0.7486</v>
      </c>
      <c r="N79" s="35" t="s">
        <v>224</v>
      </c>
    </row>
    <row r="80">
      <c r="A80" s="27">
        <v>78.0</v>
      </c>
      <c r="B80" s="30" t="s">
        <v>303</v>
      </c>
      <c r="C80" s="33" t="s">
        <v>304</v>
      </c>
      <c r="D80" s="35" t="s">
        <v>32</v>
      </c>
      <c r="E80" s="35" t="s">
        <v>117</v>
      </c>
      <c r="F80" s="35" t="s">
        <v>168</v>
      </c>
      <c r="G80" s="35" t="s">
        <v>227</v>
      </c>
      <c r="H80" s="35" t="s">
        <v>37</v>
      </c>
      <c r="I80" s="35" t="s">
        <v>254</v>
      </c>
      <c r="J80" s="35" t="s">
        <v>151</v>
      </c>
      <c r="K80" s="35" t="s">
        <v>227</v>
      </c>
      <c r="L80" s="35" t="s">
        <v>61</v>
      </c>
      <c r="M80" s="39">
        <v>0.7371</v>
      </c>
      <c r="N80" s="35" t="s">
        <v>224</v>
      </c>
    </row>
    <row r="81">
      <c r="A81" s="42">
        <v>79.0</v>
      </c>
      <c r="B81" s="30" t="s">
        <v>305</v>
      </c>
      <c r="C81" s="33" t="s">
        <v>306</v>
      </c>
      <c r="D81" s="35" t="s">
        <v>32</v>
      </c>
      <c r="E81" s="35" t="s">
        <v>174</v>
      </c>
      <c r="F81" s="35" t="s">
        <v>218</v>
      </c>
      <c r="G81" s="35" t="s">
        <v>37</v>
      </c>
      <c r="H81" s="35" t="s">
        <v>61</v>
      </c>
      <c r="I81" s="35" t="s">
        <v>307</v>
      </c>
      <c r="J81" s="35" t="s">
        <v>103</v>
      </c>
      <c r="K81" s="35" t="s">
        <v>203</v>
      </c>
      <c r="L81" s="35" t="s">
        <v>65</v>
      </c>
      <c r="M81" s="39">
        <v>0.7371</v>
      </c>
      <c r="N81" s="35" t="s">
        <v>224</v>
      </c>
    </row>
    <row r="82">
      <c r="A82" s="42">
        <v>80.0</v>
      </c>
      <c r="B82" s="30" t="s">
        <v>309</v>
      </c>
      <c r="C82" s="33" t="s">
        <v>310</v>
      </c>
      <c r="D82" s="35" t="s">
        <v>32</v>
      </c>
      <c r="E82" s="35" t="s">
        <v>103</v>
      </c>
      <c r="F82" s="35" t="s">
        <v>243</v>
      </c>
      <c r="G82" s="35" t="s">
        <v>37</v>
      </c>
      <c r="H82" s="35" t="s">
        <v>85</v>
      </c>
      <c r="I82" s="35" t="s">
        <v>264</v>
      </c>
      <c r="J82" s="35" t="s">
        <v>196</v>
      </c>
      <c r="K82" s="35" t="s">
        <v>164</v>
      </c>
      <c r="L82" s="35" t="s">
        <v>65</v>
      </c>
      <c r="M82" s="39">
        <v>0.7286</v>
      </c>
      <c r="N82" s="35" t="s">
        <v>224</v>
      </c>
    </row>
    <row r="83">
      <c r="A83" s="42">
        <v>81.0</v>
      </c>
      <c r="B83" s="30" t="s">
        <v>311</v>
      </c>
      <c r="C83" s="33" t="s">
        <v>312</v>
      </c>
      <c r="D83" s="35" t="s">
        <v>32</v>
      </c>
      <c r="E83" s="35" t="s">
        <v>103</v>
      </c>
      <c r="F83" s="35" t="s">
        <v>131</v>
      </c>
      <c r="G83" s="35" t="s">
        <v>37</v>
      </c>
      <c r="H83" s="35" t="s">
        <v>60</v>
      </c>
      <c r="I83" s="35" t="s">
        <v>313</v>
      </c>
      <c r="J83" s="35" t="s">
        <v>108</v>
      </c>
      <c r="K83" s="35" t="s">
        <v>238</v>
      </c>
      <c r="L83" s="35" t="s">
        <v>94</v>
      </c>
      <c r="M83" s="39">
        <v>0.7286</v>
      </c>
      <c r="N83" s="35" t="s">
        <v>224</v>
      </c>
    </row>
    <row r="84">
      <c r="A84" s="42">
        <v>82.0</v>
      </c>
      <c r="B84" s="30" t="s">
        <v>314</v>
      </c>
      <c r="C84" s="33" t="s">
        <v>315</v>
      </c>
      <c r="D84" s="35" t="s">
        <v>45</v>
      </c>
      <c r="E84" s="35" t="s">
        <v>185</v>
      </c>
      <c r="F84" s="35" t="s">
        <v>164</v>
      </c>
      <c r="G84" s="35" t="s">
        <v>185</v>
      </c>
      <c r="H84" s="35" t="s">
        <v>37</v>
      </c>
      <c r="I84" s="35" t="s">
        <v>85</v>
      </c>
      <c r="J84" s="35" t="s">
        <v>131</v>
      </c>
      <c r="K84" s="35" t="s">
        <v>212</v>
      </c>
      <c r="L84" s="35" t="s">
        <v>60</v>
      </c>
      <c r="M84" s="39">
        <v>0.7257</v>
      </c>
      <c r="N84" s="35" t="s">
        <v>224</v>
      </c>
    </row>
    <row r="85">
      <c r="A85" s="27">
        <v>83.0</v>
      </c>
      <c r="B85" s="30" t="s">
        <v>316</v>
      </c>
      <c r="C85" s="33" t="s">
        <v>317</v>
      </c>
      <c r="D85" s="35" t="s">
        <v>45</v>
      </c>
      <c r="E85" s="35" t="s">
        <v>94</v>
      </c>
      <c r="F85" s="35" t="s">
        <v>318</v>
      </c>
      <c r="G85" s="35" t="s">
        <v>37</v>
      </c>
      <c r="H85" s="35" t="s">
        <v>302</v>
      </c>
      <c r="I85" s="35" t="s">
        <v>117</v>
      </c>
      <c r="J85" s="35" t="s">
        <v>72</v>
      </c>
      <c r="K85" s="35" t="s">
        <v>185</v>
      </c>
      <c r="L85" s="35" t="s">
        <v>72</v>
      </c>
      <c r="M85" s="39">
        <v>0.7229</v>
      </c>
      <c r="N85" s="35" t="s">
        <v>224</v>
      </c>
    </row>
    <row r="86">
      <c r="A86" s="42">
        <v>84.0</v>
      </c>
      <c r="B86" s="30" t="s">
        <v>319</v>
      </c>
      <c r="C86" s="33" t="s">
        <v>320</v>
      </c>
      <c r="D86" s="35" t="s">
        <v>32</v>
      </c>
      <c r="E86" s="35" t="s">
        <v>203</v>
      </c>
      <c r="F86" s="35" t="s">
        <v>227</v>
      </c>
      <c r="G86" s="35" t="s">
        <v>218</v>
      </c>
      <c r="H86" s="35" t="s">
        <v>37</v>
      </c>
      <c r="I86" s="35" t="s">
        <v>174</v>
      </c>
      <c r="J86" s="35" t="s">
        <v>131</v>
      </c>
      <c r="K86" s="35" t="s">
        <v>185</v>
      </c>
      <c r="L86" s="35" t="s">
        <v>126</v>
      </c>
      <c r="M86" s="39">
        <v>0.7229</v>
      </c>
      <c r="N86" s="35" t="s">
        <v>224</v>
      </c>
    </row>
    <row r="87">
      <c r="A87" s="42">
        <v>85.0</v>
      </c>
      <c r="B87" s="30" t="s">
        <v>321</v>
      </c>
      <c r="C87" s="33" t="s">
        <v>322</v>
      </c>
      <c r="D87" s="35" t="s">
        <v>45</v>
      </c>
      <c r="E87" s="35" t="s">
        <v>168</v>
      </c>
      <c r="F87" s="35" t="s">
        <v>276</v>
      </c>
      <c r="G87" s="35" t="s">
        <v>37</v>
      </c>
      <c r="H87" s="35" t="s">
        <v>203</v>
      </c>
      <c r="I87" s="35" t="s">
        <v>248</v>
      </c>
      <c r="J87" s="35" t="s">
        <v>144</v>
      </c>
      <c r="K87" s="35" t="s">
        <v>85</v>
      </c>
      <c r="L87" s="35" t="s">
        <v>61</v>
      </c>
      <c r="M87" s="51">
        <v>0.72</v>
      </c>
      <c r="N87" s="35" t="s">
        <v>224</v>
      </c>
    </row>
    <row r="88">
      <c r="A88" s="42">
        <v>86.0</v>
      </c>
      <c r="B88" s="30" t="s">
        <v>324</v>
      </c>
      <c r="C88" s="33" t="s">
        <v>325</v>
      </c>
      <c r="D88" s="35" t="s">
        <v>32</v>
      </c>
      <c r="E88" s="35" t="s">
        <v>203</v>
      </c>
      <c r="F88" s="35" t="s">
        <v>231</v>
      </c>
      <c r="G88" s="35" t="s">
        <v>37</v>
      </c>
      <c r="H88" s="35" t="s">
        <v>168</v>
      </c>
      <c r="I88" s="35" t="s">
        <v>200</v>
      </c>
      <c r="J88" s="35" t="s">
        <v>131</v>
      </c>
      <c r="K88" s="35" t="s">
        <v>196</v>
      </c>
      <c r="L88" s="35" t="s">
        <v>72</v>
      </c>
      <c r="M88" s="51">
        <v>0.72</v>
      </c>
      <c r="N88" s="35" t="s">
        <v>224</v>
      </c>
    </row>
    <row r="89">
      <c r="A89" s="42">
        <v>87.0</v>
      </c>
      <c r="B89" s="30" t="s">
        <v>326</v>
      </c>
      <c r="C89" s="33" t="s">
        <v>327</v>
      </c>
      <c r="D89" s="35" t="s">
        <v>45</v>
      </c>
      <c r="E89" s="35" t="s">
        <v>228</v>
      </c>
      <c r="F89" s="35" t="s">
        <v>131</v>
      </c>
      <c r="G89" s="35" t="s">
        <v>37</v>
      </c>
      <c r="H89" s="35" t="s">
        <v>131</v>
      </c>
      <c r="I89" s="35" t="s">
        <v>131</v>
      </c>
      <c r="J89" s="35" t="s">
        <v>164</v>
      </c>
      <c r="K89" s="35" t="s">
        <v>228</v>
      </c>
      <c r="L89" s="35" t="s">
        <v>144</v>
      </c>
      <c r="M89" s="39">
        <v>0.7186</v>
      </c>
      <c r="N89" s="35" t="s">
        <v>224</v>
      </c>
    </row>
    <row r="90">
      <c r="A90" s="27">
        <v>88.0</v>
      </c>
      <c r="B90" s="30" t="s">
        <v>328</v>
      </c>
      <c r="C90" s="33" t="s">
        <v>329</v>
      </c>
      <c r="D90" s="35" t="s">
        <v>45</v>
      </c>
      <c r="E90" s="35" t="s">
        <v>164</v>
      </c>
      <c r="F90" s="35" t="s">
        <v>212</v>
      </c>
      <c r="G90" s="35" t="s">
        <v>212</v>
      </c>
      <c r="H90" s="35" t="s">
        <v>37</v>
      </c>
      <c r="I90" s="35" t="s">
        <v>302</v>
      </c>
      <c r="J90" s="35" t="s">
        <v>72</v>
      </c>
      <c r="K90" s="35" t="s">
        <v>85</v>
      </c>
      <c r="L90" s="35" t="s">
        <v>126</v>
      </c>
      <c r="M90" s="39">
        <v>0.7086</v>
      </c>
      <c r="N90" s="35" t="s">
        <v>224</v>
      </c>
    </row>
    <row r="91">
      <c r="A91" s="27">
        <v>89.0</v>
      </c>
      <c r="B91" s="30" t="s">
        <v>330</v>
      </c>
      <c r="C91" s="33" t="s">
        <v>331</v>
      </c>
      <c r="D91" s="35" t="s">
        <v>45</v>
      </c>
      <c r="E91" s="35" t="s">
        <v>227</v>
      </c>
      <c r="F91" s="35" t="s">
        <v>164</v>
      </c>
      <c r="G91" s="35" t="s">
        <v>164</v>
      </c>
      <c r="H91" s="35" t="s">
        <v>37</v>
      </c>
      <c r="I91" s="35" t="s">
        <v>332</v>
      </c>
      <c r="J91" s="35" t="s">
        <v>227</v>
      </c>
      <c r="K91" s="35" t="s">
        <v>103</v>
      </c>
      <c r="L91" s="35" t="s">
        <v>49</v>
      </c>
      <c r="M91" s="39">
        <v>0.7043</v>
      </c>
      <c r="N91" s="35" t="s">
        <v>333</v>
      </c>
    </row>
    <row r="92">
      <c r="A92" s="42">
        <v>90.0</v>
      </c>
      <c r="B92" s="30" t="s">
        <v>334</v>
      </c>
      <c r="C92" s="33" t="s">
        <v>335</v>
      </c>
      <c r="D92" s="35" t="s">
        <v>45</v>
      </c>
      <c r="E92" s="35" t="s">
        <v>276</v>
      </c>
      <c r="F92" s="35" t="s">
        <v>238</v>
      </c>
      <c r="G92" s="35" t="s">
        <v>231</v>
      </c>
      <c r="H92" s="35" t="s">
        <v>37</v>
      </c>
      <c r="I92" s="35" t="s">
        <v>131</v>
      </c>
      <c r="J92" s="35" t="s">
        <v>151</v>
      </c>
      <c r="K92" s="35" t="s">
        <v>203</v>
      </c>
      <c r="L92" s="35" t="s">
        <v>144</v>
      </c>
      <c r="M92" s="39">
        <v>0.7029</v>
      </c>
      <c r="N92" s="35" t="s">
        <v>333</v>
      </c>
    </row>
    <row r="93">
      <c r="A93" s="42">
        <v>91.0</v>
      </c>
      <c r="B93" s="30" t="s">
        <v>336</v>
      </c>
      <c r="C93" s="33" t="s">
        <v>337</v>
      </c>
      <c r="D93" s="35" t="s">
        <v>32</v>
      </c>
      <c r="E93" s="35" t="s">
        <v>117</v>
      </c>
      <c r="F93" s="35" t="s">
        <v>203</v>
      </c>
      <c r="G93" s="35" t="s">
        <v>37</v>
      </c>
      <c r="H93" s="35" t="s">
        <v>231</v>
      </c>
      <c r="I93" s="35" t="s">
        <v>338</v>
      </c>
      <c r="J93" s="35" t="s">
        <v>168</v>
      </c>
      <c r="K93" s="35" t="s">
        <v>218</v>
      </c>
      <c r="L93" s="35" t="s">
        <v>152</v>
      </c>
      <c r="M93" s="39">
        <v>0.6957</v>
      </c>
      <c r="N93" s="35" t="s">
        <v>333</v>
      </c>
    </row>
    <row r="94">
      <c r="A94" s="42">
        <v>92.0</v>
      </c>
      <c r="B94" s="30" t="s">
        <v>339</v>
      </c>
      <c r="C94" s="33" t="s">
        <v>340</v>
      </c>
      <c r="D94" s="35" t="s">
        <v>32</v>
      </c>
      <c r="E94" s="35" t="s">
        <v>47</v>
      </c>
      <c r="F94" s="35" t="s">
        <v>151</v>
      </c>
      <c r="G94" s="35" t="s">
        <v>164</v>
      </c>
      <c r="H94" s="35" t="s">
        <v>37</v>
      </c>
      <c r="I94" s="35" t="s">
        <v>341</v>
      </c>
      <c r="J94" s="35" t="s">
        <v>108</v>
      </c>
      <c r="K94" s="35" t="s">
        <v>126</v>
      </c>
      <c r="L94" s="35" t="s">
        <v>231</v>
      </c>
      <c r="M94" s="39">
        <v>0.6914</v>
      </c>
      <c r="N94" s="35" t="s">
        <v>333</v>
      </c>
    </row>
    <row r="95">
      <c r="A95" s="42">
        <v>93.0</v>
      </c>
      <c r="B95" s="30" t="s">
        <v>342</v>
      </c>
      <c r="C95" s="33" t="s">
        <v>343</v>
      </c>
      <c r="D95" s="35" t="s">
        <v>32</v>
      </c>
      <c r="E95" s="35" t="s">
        <v>117</v>
      </c>
      <c r="F95" s="35" t="s">
        <v>196</v>
      </c>
      <c r="G95" s="35" t="s">
        <v>85</v>
      </c>
      <c r="H95" s="35" t="s">
        <v>37</v>
      </c>
      <c r="I95" s="35" t="s">
        <v>344</v>
      </c>
      <c r="J95" s="35" t="s">
        <v>174</v>
      </c>
      <c r="K95" s="35" t="s">
        <v>228</v>
      </c>
      <c r="L95" s="35" t="s">
        <v>47</v>
      </c>
      <c r="M95" s="39">
        <v>0.6914</v>
      </c>
      <c r="N95" s="35" t="s">
        <v>333</v>
      </c>
    </row>
    <row r="96">
      <c r="A96" s="27">
        <v>94.0</v>
      </c>
      <c r="B96" s="30" t="s">
        <v>345</v>
      </c>
      <c r="C96" s="33" t="s">
        <v>346</v>
      </c>
      <c r="D96" s="35" t="s">
        <v>45</v>
      </c>
      <c r="E96" s="35" t="s">
        <v>231</v>
      </c>
      <c r="F96" s="35" t="s">
        <v>264</v>
      </c>
      <c r="G96" s="35" t="s">
        <v>37</v>
      </c>
      <c r="H96" s="35" t="s">
        <v>103</v>
      </c>
      <c r="I96" s="35" t="s">
        <v>347</v>
      </c>
      <c r="J96" s="35" t="s">
        <v>60</v>
      </c>
      <c r="K96" s="35" t="s">
        <v>227</v>
      </c>
      <c r="L96" s="35" t="s">
        <v>151</v>
      </c>
      <c r="M96" s="39">
        <v>0.6886</v>
      </c>
      <c r="N96" s="35" t="s">
        <v>333</v>
      </c>
    </row>
    <row r="97">
      <c r="A97" s="42">
        <v>95.0</v>
      </c>
      <c r="B97" s="30" t="s">
        <v>348</v>
      </c>
      <c r="C97" s="33" t="s">
        <v>349</v>
      </c>
      <c r="D97" s="35" t="s">
        <v>45</v>
      </c>
      <c r="E97" s="35" t="s">
        <v>174</v>
      </c>
      <c r="F97" s="35" t="s">
        <v>318</v>
      </c>
      <c r="G97" s="35" t="s">
        <v>267</v>
      </c>
      <c r="H97" s="35" t="s">
        <v>37</v>
      </c>
      <c r="I97" s="35" t="s">
        <v>228</v>
      </c>
      <c r="J97" s="35" t="s">
        <v>152</v>
      </c>
      <c r="K97" s="35" t="s">
        <v>203</v>
      </c>
      <c r="L97" s="35" t="s">
        <v>152</v>
      </c>
      <c r="M97" s="39">
        <v>0.6871</v>
      </c>
      <c r="N97" s="35" t="s">
        <v>333</v>
      </c>
    </row>
    <row r="98">
      <c r="A98" s="42">
        <v>96.0</v>
      </c>
      <c r="B98" s="30" t="s">
        <v>350</v>
      </c>
      <c r="C98" s="33" t="s">
        <v>351</v>
      </c>
      <c r="D98" s="35" t="s">
        <v>45</v>
      </c>
      <c r="E98" s="35" t="s">
        <v>151</v>
      </c>
      <c r="F98" s="35" t="s">
        <v>85</v>
      </c>
      <c r="G98" s="35" t="s">
        <v>47</v>
      </c>
      <c r="H98" s="35" t="s">
        <v>37</v>
      </c>
      <c r="I98" s="35" t="s">
        <v>174</v>
      </c>
      <c r="J98" s="35" t="s">
        <v>72</v>
      </c>
      <c r="K98" s="35" t="s">
        <v>117</v>
      </c>
      <c r="L98" s="35" t="s">
        <v>37</v>
      </c>
      <c r="M98" s="39">
        <v>0.6829</v>
      </c>
      <c r="N98" s="35" t="s">
        <v>333</v>
      </c>
    </row>
    <row r="99">
      <c r="A99" s="42">
        <v>97.0</v>
      </c>
      <c r="B99" s="30" t="s">
        <v>352</v>
      </c>
      <c r="C99" s="33" t="s">
        <v>353</v>
      </c>
      <c r="D99" s="35" t="s">
        <v>32</v>
      </c>
      <c r="E99" s="35" t="s">
        <v>200</v>
      </c>
      <c r="F99" s="35" t="s">
        <v>227</v>
      </c>
      <c r="G99" s="35" t="s">
        <v>212</v>
      </c>
      <c r="H99" s="35" t="s">
        <v>37</v>
      </c>
      <c r="I99" s="35" t="s">
        <v>257</v>
      </c>
      <c r="J99" s="35" t="s">
        <v>152</v>
      </c>
      <c r="K99" s="35" t="s">
        <v>218</v>
      </c>
      <c r="L99" s="35" t="s">
        <v>65</v>
      </c>
      <c r="M99" s="51">
        <v>0.68</v>
      </c>
      <c r="N99" s="35" t="s">
        <v>333</v>
      </c>
    </row>
    <row r="100">
      <c r="A100" s="42">
        <v>98.0</v>
      </c>
      <c r="B100" s="30" t="s">
        <v>354</v>
      </c>
      <c r="C100" s="33" t="s">
        <v>355</v>
      </c>
      <c r="D100" s="35" t="s">
        <v>45</v>
      </c>
      <c r="E100" s="35" t="s">
        <v>200</v>
      </c>
      <c r="F100" s="35" t="s">
        <v>264</v>
      </c>
      <c r="G100" s="35" t="s">
        <v>37</v>
      </c>
      <c r="H100" s="35" t="s">
        <v>103</v>
      </c>
      <c r="I100" s="35" t="s">
        <v>276</v>
      </c>
      <c r="J100" s="35" t="s">
        <v>318</v>
      </c>
      <c r="K100" s="35" t="s">
        <v>231</v>
      </c>
      <c r="L100" s="35" t="s">
        <v>38</v>
      </c>
      <c r="M100" s="39">
        <v>0.6714</v>
      </c>
      <c r="N100" s="35" t="s">
        <v>333</v>
      </c>
    </row>
    <row r="101">
      <c r="A101" s="27">
        <v>99.0</v>
      </c>
      <c r="B101" s="30" t="s">
        <v>356</v>
      </c>
      <c r="C101" s="33" t="s">
        <v>357</v>
      </c>
      <c r="D101" s="35" t="s">
        <v>45</v>
      </c>
      <c r="E101" s="35" t="s">
        <v>203</v>
      </c>
      <c r="F101" s="35" t="s">
        <v>276</v>
      </c>
      <c r="G101" s="35" t="s">
        <v>37</v>
      </c>
      <c r="H101" s="35" t="s">
        <v>218</v>
      </c>
      <c r="I101" s="35" t="s">
        <v>347</v>
      </c>
      <c r="J101" s="35" t="s">
        <v>85</v>
      </c>
      <c r="K101" s="35" t="s">
        <v>238</v>
      </c>
      <c r="L101" s="35" t="s">
        <v>90</v>
      </c>
      <c r="M101" s="51">
        <v>0.67</v>
      </c>
      <c r="N101" s="35" t="s">
        <v>333</v>
      </c>
    </row>
    <row r="102">
      <c r="A102" s="27">
        <v>100.0</v>
      </c>
      <c r="B102" s="30" t="s">
        <v>358</v>
      </c>
      <c r="C102" s="33" t="s">
        <v>359</v>
      </c>
      <c r="D102" s="35" t="s">
        <v>32</v>
      </c>
      <c r="E102" s="35" t="s">
        <v>103</v>
      </c>
      <c r="F102" s="35" t="s">
        <v>218</v>
      </c>
      <c r="G102" s="35" t="s">
        <v>37</v>
      </c>
      <c r="H102" s="35" t="s">
        <v>90</v>
      </c>
      <c r="I102" s="35" t="s">
        <v>286</v>
      </c>
      <c r="J102" s="35" t="s">
        <v>248</v>
      </c>
      <c r="K102" s="35" t="s">
        <v>238</v>
      </c>
      <c r="L102" s="35" t="s">
        <v>72</v>
      </c>
      <c r="M102" s="39">
        <v>0.6671</v>
      </c>
      <c r="N102" s="35" t="s">
        <v>333</v>
      </c>
    </row>
    <row r="103">
      <c r="A103" s="42">
        <v>101.0</v>
      </c>
      <c r="B103" s="30" t="s">
        <v>360</v>
      </c>
      <c r="C103" s="33" t="s">
        <v>361</v>
      </c>
      <c r="D103" s="35" t="s">
        <v>32</v>
      </c>
      <c r="E103" s="35" t="s">
        <v>231</v>
      </c>
      <c r="F103" s="35" t="s">
        <v>200</v>
      </c>
      <c r="G103" s="35" t="s">
        <v>37</v>
      </c>
      <c r="H103" s="35" t="s">
        <v>174</v>
      </c>
      <c r="I103" s="35" t="s">
        <v>362</v>
      </c>
      <c r="J103" s="35" t="s">
        <v>231</v>
      </c>
      <c r="K103" s="35" t="s">
        <v>168</v>
      </c>
      <c r="L103" s="35" t="s">
        <v>126</v>
      </c>
      <c r="M103" s="39">
        <v>0.6657</v>
      </c>
      <c r="N103" s="35" t="s">
        <v>333</v>
      </c>
    </row>
    <row r="104">
      <c r="A104" s="42">
        <v>102.0</v>
      </c>
      <c r="B104" s="30" t="s">
        <v>363</v>
      </c>
      <c r="C104" s="33" t="s">
        <v>364</v>
      </c>
      <c r="D104" s="35" t="s">
        <v>32</v>
      </c>
      <c r="E104" s="35" t="s">
        <v>276</v>
      </c>
      <c r="F104" s="35" t="s">
        <v>231</v>
      </c>
      <c r="G104" s="35" t="s">
        <v>37</v>
      </c>
      <c r="H104" s="35" t="s">
        <v>227</v>
      </c>
      <c r="I104" s="35" t="s">
        <v>347</v>
      </c>
      <c r="J104" s="35" t="s">
        <v>152</v>
      </c>
      <c r="K104" s="35" t="s">
        <v>185</v>
      </c>
      <c r="L104" s="35" t="s">
        <v>152</v>
      </c>
      <c r="M104" s="39">
        <v>0.6657</v>
      </c>
      <c r="N104" s="35" t="s">
        <v>333</v>
      </c>
    </row>
    <row r="105">
      <c r="A105" s="42">
        <v>103.0</v>
      </c>
      <c r="B105" s="30" t="s">
        <v>366</v>
      </c>
      <c r="C105" s="33" t="s">
        <v>367</v>
      </c>
      <c r="D105" s="35" t="s">
        <v>32</v>
      </c>
      <c r="E105" s="35" t="s">
        <v>231</v>
      </c>
      <c r="F105" s="35" t="s">
        <v>185</v>
      </c>
      <c r="G105" s="35" t="s">
        <v>152</v>
      </c>
      <c r="H105" s="35" t="s">
        <v>37</v>
      </c>
      <c r="I105" s="35" t="s">
        <v>264</v>
      </c>
      <c r="J105" s="35" t="s">
        <v>164</v>
      </c>
      <c r="K105" s="35" t="s">
        <v>257</v>
      </c>
      <c r="L105" s="35" t="s">
        <v>131</v>
      </c>
      <c r="M105" s="39">
        <v>0.6657</v>
      </c>
      <c r="N105" s="35" t="s">
        <v>333</v>
      </c>
    </row>
    <row r="106">
      <c r="A106" s="42">
        <v>104.0</v>
      </c>
      <c r="B106" s="30" t="s">
        <v>368</v>
      </c>
      <c r="C106" s="33" t="s">
        <v>369</v>
      </c>
      <c r="D106" s="35" t="s">
        <v>32</v>
      </c>
      <c r="E106" s="35" t="s">
        <v>243</v>
      </c>
      <c r="F106" s="35" t="s">
        <v>212</v>
      </c>
      <c r="G106" s="35" t="s">
        <v>228</v>
      </c>
      <c r="H106" s="35" t="s">
        <v>37</v>
      </c>
      <c r="I106" s="35" t="s">
        <v>243</v>
      </c>
      <c r="J106" s="35" t="s">
        <v>231</v>
      </c>
      <c r="K106" s="35" t="s">
        <v>228</v>
      </c>
      <c r="L106" s="35" t="s">
        <v>94</v>
      </c>
      <c r="M106" s="39">
        <v>0.6657</v>
      </c>
      <c r="N106" s="35" t="s">
        <v>333</v>
      </c>
    </row>
    <row r="107">
      <c r="A107" s="27">
        <v>105.0</v>
      </c>
      <c r="B107" s="30" t="s">
        <v>370</v>
      </c>
      <c r="C107" s="33" t="s">
        <v>371</v>
      </c>
      <c r="D107" s="35" t="s">
        <v>32</v>
      </c>
      <c r="E107" s="35" t="s">
        <v>276</v>
      </c>
      <c r="F107" s="35" t="s">
        <v>372</v>
      </c>
      <c r="G107" s="35" t="s">
        <v>37</v>
      </c>
      <c r="H107" s="35" t="s">
        <v>196</v>
      </c>
      <c r="I107" s="35" t="s">
        <v>373</v>
      </c>
      <c r="J107" s="35" t="s">
        <v>131</v>
      </c>
      <c r="K107" s="35" t="s">
        <v>168</v>
      </c>
      <c r="L107" s="35" t="s">
        <v>117</v>
      </c>
      <c r="M107" s="39">
        <v>0.6643</v>
      </c>
      <c r="N107" s="35" t="s">
        <v>333</v>
      </c>
    </row>
    <row r="108">
      <c r="A108" s="42">
        <v>106.0</v>
      </c>
      <c r="B108" s="30" t="s">
        <v>374</v>
      </c>
      <c r="C108" s="33" t="s">
        <v>375</v>
      </c>
      <c r="D108" s="35" t="s">
        <v>32</v>
      </c>
      <c r="E108" s="35" t="s">
        <v>276</v>
      </c>
      <c r="F108" s="35" t="s">
        <v>200</v>
      </c>
      <c r="G108" s="35" t="s">
        <v>37</v>
      </c>
      <c r="H108" s="35" t="s">
        <v>164</v>
      </c>
      <c r="I108" s="35" t="s">
        <v>307</v>
      </c>
      <c r="J108" s="35" t="s">
        <v>85</v>
      </c>
      <c r="K108" s="35" t="s">
        <v>185</v>
      </c>
      <c r="L108" s="35" t="s">
        <v>108</v>
      </c>
      <c r="M108" s="39">
        <v>0.6643</v>
      </c>
      <c r="N108" s="35" t="s">
        <v>333</v>
      </c>
    </row>
    <row r="109">
      <c r="A109" s="42">
        <v>107.0</v>
      </c>
      <c r="B109" s="30" t="s">
        <v>376</v>
      </c>
      <c r="C109" s="33" t="s">
        <v>377</v>
      </c>
      <c r="D109" s="35" t="s">
        <v>45</v>
      </c>
      <c r="E109" s="35" t="s">
        <v>231</v>
      </c>
      <c r="F109" s="35" t="s">
        <v>228</v>
      </c>
      <c r="G109" s="35" t="s">
        <v>185</v>
      </c>
      <c r="H109" s="35" t="s">
        <v>37</v>
      </c>
      <c r="I109" s="35" t="s">
        <v>307</v>
      </c>
      <c r="J109" s="35" t="s">
        <v>103</v>
      </c>
      <c r="K109" s="35" t="s">
        <v>267</v>
      </c>
      <c r="L109" s="35" t="s">
        <v>168</v>
      </c>
      <c r="M109" s="39">
        <v>0.6614</v>
      </c>
      <c r="N109" s="35" t="s">
        <v>333</v>
      </c>
    </row>
    <row r="110">
      <c r="A110" s="42">
        <v>108.0</v>
      </c>
      <c r="B110" s="30" t="s">
        <v>378</v>
      </c>
      <c r="C110" s="33" t="s">
        <v>379</v>
      </c>
      <c r="D110" s="35" t="s">
        <v>45</v>
      </c>
      <c r="E110" s="35" t="s">
        <v>164</v>
      </c>
      <c r="F110" s="35" t="s">
        <v>254</v>
      </c>
      <c r="G110" s="35" t="s">
        <v>37</v>
      </c>
      <c r="H110" s="35" t="s">
        <v>174</v>
      </c>
      <c r="I110" s="35" t="s">
        <v>248</v>
      </c>
      <c r="J110" s="35" t="s">
        <v>168</v>
      </c>
      <c r="K110" s="35" t="s">
        <v>372</v>
      </c>
      <c r="L110" s="35" t="s">
        <v>117</v>
      </c>
      <c r="M110" s="39">
        <v>0.6571</v>
      </c>
      <c r="N110" s="35" t="s">
        <v>333</v>
      </c>
    </row>
    <row r="111">
      <c r="A111" s="42">
        <v>109.0</v>
      </c>
      <c r="B111" s="30" t="s">
        <v>381</v>
      </c>
      <c r="C111" s="33" t="s">
        <v>382</v>
      </c>
      <c r="D111" s="35" t="s">
        <v>45</v>
      </c>
      <c r="E111" s="35" t="s">
        <v>254</v>
      </c>
      <c r="F111" s="35" t="s">
        <v>332</v>
      </c>
      <c r="G111" s="35" t="s">
        <v>37</v>
      </c>
      <c r="H111" s="35" t="s">
        <v>212</v>
      </c>
      <c r="I111" s="35" t="s">
        <v>164</v>
      </c>
      <c r="J111" s="35" t="s">
        <v>196</v>
      </c>
      <c r="K111" s="35" t="s">
        <v>276</v>
      </c>
      <c r="L111" s="35" t="s">
        <v>38</v>
      </c>
      <c r="M111" s="39">
        <v>0.6543</v>
      </c>
      <c r="N111" s="35" t="s">
        <v>333</v>
      </c>
    </row>
    <row r="112">
      <c r="A112" s="27">
        <v>110.0</v>
      </c>
      <c r="B112" s="30" t="s">
        <v>383</v>
      </c>
      <c r="C112" s="33" t="s">
        <v>384</v>
      </c>
      <c r="D112" s="35" t="s">
        <v>45</v>
      </c>
      <c r="E112" s="35" t="s">
        <v>185</v>
      </c>
      <c r="F112" s="35" t="s">
        <v>313</v>
      </c>
      <c r="G112" s="35" t="s">
        <v>37</v>
      </c>
      <c r="H112" s="35" t="s">
        <v>94</v>
      </c>
      <c r="I112" s="35" t="s">
        <v>385</v>
      </c>
      <c r="J112" s="35" t="s">
        <v>185</v>
      </c>
      <c r="K112" s="35" t="s">
        <v>212</v>
      </c>
      <c r="L112" s="35" t="s">
        <v>117</v>
      </c>
      <c r="M112" s="51">
        <v>0.65</v>
      </c>
      <c r="N112" s="35" t="s">
        <v>333</v>
      </c>
    </row>
    <row r="113">
      <c r="A113" s="27">
        <v>111.0</v>
      </c>
      <c r="B113" s="30" t="s">
        <v>386</v>
      </c>
      <c r="C113" s="33" t="s">
        <v>387</v>
      </c>
      <c r="D113" s="35" t="s">
        <v>45</v>
      </c>
      <c r="E113" s="35" t="s">
        <v>227</v>
      </c>
      <c r="F113" s="35" t="s">
        <v>238</v>
      </c>
      <c r="G113" s="35" t="s">
        <v>37</v>
      </c>
      <c r="H113" s="35" t="s">
        <v>254</v>
      </c>
      <c r="I113" s="35" t="s">
        <v>332</v>
      </c>
      <c r="J113" s="35" t="s">
        <v>103</v>
      </c>
      <c r="K113" s="35" t="s">
        <v>372</v>
      </c>
      <c r="L113" s="35" t="s">
        <v>60</v>
      </c>
      <c r="M113" s="39">
        <v>0.6443</v>
      </c>
      <c r="N113" s="35" t="s">
        <v>333</v>
      </c>
    </row>
    <row r="114">
      <c r="A114" s="42">
        <v>112.0</v>
      </c>
      <c r="B114" s="30" t="s">
        <v>388</v>
      </c>
      <c r="C114" s="33" t="s">
        <v>389</v>
      </c>
      <c r="D114" s="35" t="s">
        <v>32</v>
      </c>
      <c r="E114" s="35" t="s">
        <v>227</v>
      </c>
      <c r="F114" s="35" t="s">
        <v>228</v>
      </c>
      <c r="G114" s="35" t="s">
        <v>37</v>
      </c>
      <c r="H114" s="35" t="s">
        <v>108</v>
      </c>
      <c r="I114" s="35" t="s">
        <v>372</v>
      </c>
      <c r="J114" s="35" t="s">
        <v>243</v>
      </c>
      <c r="K114" s="35" t="s">
        <v>391</v>
      </c>
      <c r="L114" s="35" t="s">
        <v>152</v>
      </c>
      <c r="M114" s="39">
        <v>0.6429</v>
      </c>
      <c r="N114" s="35" t="s">
        <v>333</v>
      </c>
    </row>
    <row r="115">
      <c r="A115" s="42">
        <v>113.0</v>
      </c>
      <c r="B115" s="30" t="s">
        <v>392</v>
      </c>
      <c r="C115" s="33" t="s">
        <v>393</v>
      </c>
      <c r="D115" s="35" t="s">
        <v>45</v>
      </c>
      <c r="E115" s="35" t="s">
        <v>238</v>
      </c>
      <c r="F115" s="35" t="s">
        <v>372</v>
      </c>
      <c r="G115" s="35" t="s">
        <v>37</v>
      </c>
      <c r="H115" s="35" t="s">
        <v>267</v>
      </c>
      <c r="I115" s="35" t="s">
        <v>318</v>
      </c>
      <c r="J115" s="35" t="s">
        <v>231</v>
      </c>
      <c r="K115" s="35" t="s">
        <v>299</v>
      </c>
      <c r="L115" s="35" t="s">
        <v>49</v>
      </c>
      <c r="M115" s="51">
        <v>0.64</v>
      </c>
      <c r="N115" s="35" t="s">
        <v>333</v>
      </c>
    </row>
    <row r="116">
      <c r="A116" s="42">
        <v>114.0</v>
      </c>
      <c r="B116" s="30" t="s">
        <v>394</v>
      </c>
      <c r="C116" s="33" t="s">
        <v>395</v>
      </c>
      <c r="D116" s="35" t="s">
        <v>45</v>
      </c>
      <c r="E116" s="35" t="s">
        <v>372</v>
      </c>
      <c r="F116" s="35" t="s">
        <v>302</v>
      </c>
      <c r="G116" s="35" t="s">
        <v>151</v>
      </c>
      <c r="H116" s="35" t="s">
        <v>37</v>
      </c>
      <c r="I116" s="35" t="s">
        <v>372</v>
      </c>
      <c r="J116" s="35" t="s">
        <v>126</v>
      </c>
      <c r="K116" s="35" t="s">
        <v>307</v>
      </c>
      <c r="L116" s="35" t="s">
        <v>151</v>
      </c>
      <c r="M116" s="39">
        <v>0.6386</v>
      </c>
      <c r="N116" s="35" t="s">
        <v>333</v>
      </c>
    </row>
    <row r="117">
      <c r="A117" s="42">
        <v>115.0</v>
      </c>
      <c r="B117" s="30" t="s">
        <v>396</v>
      </c>
      <c r="C117" s="33" t="s">
        <v>397</v>
      </c>
      <c r="D117" s="35" t="s">
        <v>32</v>
      </c>
      <c r="E117" s="35" t="s">
        <v>372</v>
      </c>
      <c r="F117" s="35" t="s">
        <v>332</v>
      </c>
      <c r="G117" s="35" t="s">
        <v>37</v>
      </c>
      <c r="H117" s="35" t="s">
        <v>131</v>
      </c>
      <c r="I117" s="35" t="s">
        <v>257</v>
      </c>
      <c r="J117" s="35" t="s">
        <v>185</v>
      </c>
      <c r="K117" s="35" t="s">
        <v>168</v>
      </c>
      <c r="L117" s="35" t="s">
        <v>85</v>
      </c>
      <c r="M117" s="39">
        <v>0.6286</v>
      </c>
      <c r="N117" s="35" t="s">
        <v>333</v>
      </c>
    </row>
    <row r="118">
      <c r="A118" s="27">
        <v>116.0</v>
      </c>
      <c r="B118" s="30" t="s">
        <v>398</v>
      </c>
      <c r="C118" s="33" t="s">
        <v>399</v>
      </c>
      <c r="D118" s="35" t="s">
        <v>45</v>
      </c>
      <c r="E118" s="35" t="s">
        <v>243</v>
      </c>
      <c r="F118" s="35" t="s">
        <v>373</v>
      </c>
      <c r="G118" s="35" t="s">
        <v>37</v>
      </c>
      <c r="H118" s="35" t="s">
        <v>373</v>
      </c>
      <c r="I118" s="35" t="s">
        <v>318</v>
      </c>
      <c r="J118" s="35" t="s">
        <v>196</v>
      </c>
      <c r="K118" s="35" t="s">
        <v>238</v>
      </c>
      <c r="L118" s="35" t="s">
        <v>126</v>
      </c>
      <c r="M118" s="39">
        <v>0.6271</v>
      </c>
      <c r="N118" s="35" t="s">
        <v>333</v>
      </c>
    </row>
    <row r="119">
      <c r="A119" s="42">
        <v>117.0</v>
      </c>
      <c r="B119" s="30" t="s">
        <v>401</v>
      </c>
      <c r="C119" s="33" t="s">
        <v>402</v>
      </c>
      <c r="D119" s="35" t="s">
        <v>45</v>
      </c>
      <c r="E119" s="35" t="s">
        <v>164</v>
      </c>
      <c r="F119" s="35" t="s">
        <v>108</v>
      </c>
      <c r="G119" s="35" t="s">
        <v>164</v>
      </c>
      <c r="H119" s="35" t="s">
        <v>37</v>
      </c>
      <c r="I119" s="35" t="s">
        <v>295</v>
      </c>
      <c r="J119" s="35" t="s">
        <v>144</v>
      </c>
      <c r="K119" s="35" t="s">
        <v>37</v>
      </c>
      <c r="L119" s="35" t="s">
        <v>34</v>
      </c>
      <c r="M119" s="51">
        <v>0.62</v>
      </c>
      <c r="N119" s="35" t="s">
        <v>333</v>
      </c>
    </row>
    <row r="120">
      <c r="A120" s="42">
        <v>118.0</v>
      </c>
      <c r="B120" s="30" t="s">
        <v>403</v>
      </c>
      <c r="C120" s="33" t="s">
        <v>404</v>
      </c>
      <c r="D120" s="35" t="s">
        <v>45</v>
      </c>
      <c r="E120" s="35" t="s">
        <v>299</v>
      </c>
      <c r="F120" s="35" t="s">
        <v>228</v>
      </c>
      <c r="G120" s="35" t="s">
        <v>372</v>
      </c>
      <c r="H120" s="35" t="s">
        <v>37</v>
      </c>
      <c r="I120" s="35" t="s">
        <v>385</v>
      </c>
      <c r="J120" s="35" t="s">
        <v>174</v>
      </c>
      <c r="K120" s="35" t="s">
        <v>254</v>
      </c>
      <c r="L120" s="35" t="s">
        <v>47</v>
      </c>
      <c r="M120" s="51">
        <v>0.62</v>
      </c>
      <c r="N120" s="35" t="s">
        <v>333</v>
      </c>
    </row>
    <row r="121">
      <c r="A121" s="42">
        <v>119.0</v>
      </c>
      <c r="B121" s="30" t="s">
        <v>405</v>
      </c>
      <c r="C121" s="33" t="s">
        <v>406</v>
      </c>
      <c r="D121" s="35" t="s">
        <v>32</v>
      </c>
      <c r="E121" s="35" t="s">
        <v>168</v>
      </c>
      <c r="F121" s="35" t="s">
        <v>227</v>
      </c>
      <c r="G121" s="35" t="s">
        <v>103</v>
      </c>
      <c r="H121" s="35" t="s">
        <v>37</v>
      </c>
      <c r="I121" s="35" t="s">
        <v>302</v>
      </c>
      <c r="J121" s="35" t="s">
        <v>103</v>
      </c>
      <c r="K121" s="35" t="s">
        <v>37</v>
      </c>
      <c r="L121" s="35" t="s">
        <v>108</v>
      </c>
      <c r="M121" s="39">
        <v>0.6186</v>
      </c>
      <c r="N121" s="35" t="s">
        <v>333</v>
      </c>
    </row>
    <row r="122">
      <c r="A122" s="42">
        <v>120.0</v>
      </c>
      <c r="B122" s="30" t="s">
        <v>407</v>
      </c>
      <c r="C122" s="33" t="s">
        <v>409</v>
      </c>
      <c r="D122" s="35" t="s">
        <v>45</v>
      </c>
      <c r="E122" s="35" t="s">
        <v>318</v>
      </c>
      <c r="F122" s="35" t="s">
        <v>338</v>
      </c>
      <c r="G122" s="35" t="s">
        <v>37</v>
      </c>
      <c r="H122" s="35" t="s">
        <v>302</v>
      </c>
      <c r="I122" s="35" t="s">
        <v>218</v>
      </c>
      <c r="J122" s="35" t="s">
        <v>131</v>
      </c>
      <c r="K122" s="35" t="s">
        <v>257</v>
      </c>
      <c r="L122" s="35" t="s">
        <v>72</v>
      </c>
      <c r="M122" s="39">
        <v>0.6143</v>
      </c>
      <c r="N122" s="35" t="s">
        <v>333</v>
      </c>
    </row>
    <row r="123">
      <c r="A123" s="27">
        <v>121.0</v>
      </c>
      <c r="B123" s="30" t="s">
        <v>410</v>
      </c>
      <c r="C123" s="33" t="s">
        <v>411</v>
      </c>
      <c r="D123" s="35" t="s">
        <v>45</v>
      </c>
      <c r="E123" s="35" t="s">
        <v>212</v>
      </c>
      <c r="F123" s="35" t="s">
        <v>347</v>
      </c>
      <c r="G123" s="35" t="s">
        <v>37</v>
      </c>
      <c r="H123" s="35" t="s">
        <v>227</v>
      </c>
      <c r="I123" s="35" t="s">
        <v>412</v>
      </c>
      <c r="J123" s="35" t="s">
        <v>151</v>
      </c>
      <c r="K123" s="35" t="s">
        <v>254</v>
      </c>
      <c r="L123" s="35" t="s">
        <v>108</v>
      </c>
      <c r="M123" s="39">
        <v>0.6129</v>
      </c>
      <c r="N123" s="35" t="s">
        <v>333</v>
      </c>
    </row>
    <row r="124">
      <c r="A124" s="27">
        <v>122.0</v>
      </c>
      <c r="B124" s="30" t="s">
        <v>413</v>
      </c>
      <c r="C124" s="33" t="s">
        <v>414</v>
      </c>
      <c r="D124" s="35" t="s">
        <v>45</v>
      </c>
      <c r="E124" s="35" t="s">
        <v>243</v>
      </c>
      <c r="F124" s="35" t="s">
        <v>238</v>
      </c>
      <c r="G124" s="35" t="s">
        <v>37</v>
      </c>
      <c r="H124" s="35" t="s">
        <v>103</v>
      </c>
      <c r="I124" s="35" t="s">
        <v>174</v>
      </c>
      <c r="J124" s="35" t="s">
        <v>60</v>
      </c>
      <c r="K124" s="35" t="s">
        <v>228</v>
      </c>
      <c r="L124" s="35" t="s">
        <v>37</v>
      </c>
      <c r="M124" s="39">
        <v>0.6071</v>
      </c>
      <c r="N124" s="35" t="s">
        <v>333</v>
      </c>
    </row>
    <row r="125">
      <c r="A125" s="42">
        <v>123.0</v>
      </c>
      <c r="B125" s="30" t="s">
        <v>415</v>
      </c>
      <c r="C125" s="33" t="s">
        <v>416</v>
      </c>
      <c r="D125" s="35" t="s">
        <v>45</v>
      </c>
      <c r="E125" s="35" t="s">
        <v>164</v>
      </c>
      <c r="F125" s="35" t="s">
        <v>248</v>
      </c>
      <c r="G125" s="35" t="s">
        <v>37</v>
      </c>
      <c r="H125" s="35" t="s">
        <v>218</v>
      </c>
      <c r="I125" s="35" t="s">
        <v>385</v>
      </c>
      <c r="J125" s="35" t="s">
        <v>212</v>
      </c>
      <c r="K125" s="35" t="s">
        <v>338</v>
      </c>
      <c r="L125" s="35" t="s">
        <v>151</v>
      </c>
      <c r="M125" s="39">
        <v>0.6057</v>
      </c>
      <c r="N125" s="35" t="s">
        <v>333</v>
      </c>
    </row>
    <row r="126">
      <c r="A126" s="42">
        <v>124.0</v>
      </c>
      <c r="B126" s="30" t="s">
        <v>418</v>
      </c>
      <c r="C126" s="33" t="s">
        <v>419</v>
      </c>
      <c r="D126" s="35" t="s">
        <v>45</v>
      </c>
      <c r="E126" s="35" t="s">
        <v>200</v>
      </c>
      <c r="F126" s="35" t="s">
        <v>238</v>
      </c>
      <c r="G126" s="35" t="s">
        <v>248</v>
      </c>
      <c r="H126" s="35" t="s">
        <v>37</v>
      </c>
      <c r="I126" s="35" t="s">
        <v>420</v>
      </c>
      <c r="J126" s="35" t="s">
        <v>174</v>
      </c>
      <c r="K126" s="35" t="s">
        <v>267</v>
      </c>
      <c r="L126" s="35" t="s">
        <v>131</v>
      </c>
      <c r="M126" s="39">
        <v>0.6029</v>
      </c>
      <c r="N126" s="35" t="s">
        <v>421</v>
      </c>
    </row>
    <row r="127">
      <c r="A127" s="42">
        <v>125.0</v>
      </c>
      <c r="B127" s="30" t="s">
        <v>422</v>
      </c>
      <c r="C127" s="33" t="s">
        <v>423</v>
      </c>
      <c r="D127" s="35" t="s">
        <v>32</v>
      </c>
      <c r="E127" s="35" t="s">
        <v>228</v>
      </c>
      <c r="F127" s="35" t="s">
        <v>164</v>
      </c>
      <c r="G127" s="35" t="s">
        <v>37</v>
      </c>
      <c r="H127" s="35" t="s">
        <v>196</v>
      </c>
      <c r="I127" s="35" t="s">
        <v>347</v>
      </c>
      <c r="J127" s="35" t="s">
        <v>424</v>
      </c>
      <c r="K127" s="35" t="s">
        <v>299</v>
      </c>
      <c r="L127" s="35" t="s">
        <v>174</v>
      </c>
      <c r="M127" s="39">
        <v>0.5986</v>
      </c>
      <c r="N127" s="35" t="s">
        <v>421</v>
      </c>
    </row>
    <row r="128">
      <c r="A128" s="42">
        <v>126.0</v>
      </c>
      <c r="B128" s="30" t="s">
        <v>425</v>
      </c>
      <c r="C128" s="33" t="s">
        <v>426</v>
      </c>
      <c r="D128" s="35" t="s">
        <v>45</v>
      </c>
      <c r="E128" s="35" t="s">
        <v>299</v>
      </c>
      <c r="F128" s="35" t="s">
        <v>373</v>
      </c>
      <c r="G128" s="35" t="s">
        <v>37</v>
      </c>
      <c r="H128" s="35" t="s">
        <v>338</v>
      </c>
      <c r="I128" s="35" t="s">
        <v>373</v>
      </c>
      <c r="J128" s="35" t="s">
        <v>243</v>
      </c>
      <c r="K128" s="35" t="s">
        <v>228</v>
      </c>
      <c r="L128" s="35" t="s">
        <v>61</v>
      </c>
      <c r="M128" s="39">
        <v>0.5986</v>
      </c>
      <c r="N128" s="35" t="s">
        <v>421</v>
      </c>
    </row>
    <row r="129">
      <c r="A129" s="27">
        <v>127.0</v>
      </c>
      <c r="B129" s="30" t="s">
        <v>427</v>
      </c>
      <c r="C129" s="33" t="s">
        <v>428</v>
      </c>
      <c r="D129" s="35" t="s">
        <v>45</v>
      </c>
      <c r="E129" s="35" t="s">
        <v>200</v>
      </c>
      <c r="F129" s="35" t="s">
        <v>254</v>
      </c>
      <c r="G129" s="35" t="s">
        <v>254</v>
      </c>
      <c r="H129" s="35" t="s">
        <v>37</v>
      </c>
      <c r="I129" s="35" t="s">
        <v>430</v>
      </c>
      <c r="J129" s="35" t="s">
        <v>174</v>
      </c>
      <c r="K129" s="35" t="s">
        <v>302</v>
      </c>
      <c r="L129" s="35" t="s">
        <v>117</v>
      </c>
      <c r="M129" s="39">
        <v>0.5971</v>
      </c>
      <c r="N129" s="35" t="s">
        <v>421</v>
      </c>
    </row>
    <row r="130">
      <c r="A130" s="42">
        <v>128.0</v>
      </c>
      <c r="B130" s="30" t="s">
        <v>431</v>
      </c>
      <c r="C130" s="33" t="s">
        <v>432</v>
      </c>
      <c r="D130" s="35" t="s">
        <v>32</v>
      </c>
      <c r="E130" s="35" t="s">
        <v>117</v>
      </c>
      <c r="F130" s="35" t="s">
        <v>254</v>
      </c>
      <c r="G130" s="35" t="s">
        <v>228</v>
      </c>
      <c r="H130" s="35" t="s">
        <v>37</v>
      </c>
      <c r="I130" s="35" t="s">
        <v>344</v>
      </c>
      <c r="J130" s="35" t="s">
        <v>276</v>
      </c>
      <c r="K130" s="35" t="s">
        <v>254</v>
      </c>
      <c r="L130" s="35" t="s">
        <v>231</v>
      </c>
      <c r="M130" s="39">
        <v>0.5914</v>
      </c>
      <c r="N130" s="35" t="s">
        <v>421</v>
      </c>
    </row>
    <row r="131">
      <c r="A131" s="42">
        <v>129.0</v>
      </c>
      <c r="B131" s="30" t="s">
        <v>433</v>
      </c>
      <c r="C131" s="33" t="s">
        <v>434</v>
      </c>
      <c r="D131" s="35" t="s">
        <v>45</v>
      </c>
      <c r="E131" s="35" t="s">
        <v>218</v>
      </c>
      <c r="F131" s="35" t="s">
        <v>200</v>
      </c>
      <c r="G131" s="35" t="s">
        <v>231</v>
      </c>
      <c r="H131" s="35" t="s">
        <v>37</v>
      </c>
      <c r="I131" s="35" t="s">
        <v>295</v>
      </c>
      <c r="J131" s="35" t="s">
        <v>200</v>
      </c>
      <c r="K131" s="35" t="s">
        <v>347</v>
      </c>
      <c r="L131" s="35" t="s">
        <v>103</v>
      </c>
      <c r="M131" s="39">
        <v>0.5857</v>
      </c>
      <c r="N131" s="35" t="s">
        <v>421</v>
      </c>
    </row>
    <row r="132">
      <c r="A132" s="42">
        <v>130.0</v>
      </c>
      <c r="B132" s="30" t="s">
        <v>436</v>
      </c>
      <c r="C132" s="33" t="s">
        <v>437</v>
      </c>
      <c r="D132" s="35" t="s">
        <v>45</v>
      </c>
      <c r="E132" s="35" t="s">
        <v>238</v>
      </c>
      <c r="F132" s="35" t="s">
        <v>430</v>
      </c>
      <c r="G132" s="35" t="s">
        <v>362</v>
      </c>
      <c r="H132" s="35" t="s">
        <v>37</v>
      </c>
      <c r="I132" s="35" t="s">
        <v>438</v>
      </c>
      <c r="J132" s="35" t="s">
        <v>117</v>
      </c>
      <c r="K132" s="35" t="s">
        <v>267</v>
      </c>
      <c r="L132" s="35" t="s">
        <v>108</v>
      </c>
      <c r="M132" s="39">
        <v>0.5843</v>
      </c>
      <c r="N132" s="35" t="s">
        <v>421</v>
      </c>
    </row>
    <row r="133">
      <c r="A133" s="42">
        <v>131.0</v>
      </c>
      <c r="B133" s="30" t="s">
        <v>439</v>
      </c>
      <c r="C133" s="33" t="s">
        <v>440</v>
      </c>
      <c r="D133" s="35" t="s">
        <v>45</v>
      </c>
      <c r="E133" s="35" t="s">
        <v>302</v>
      </c>
      <c r="F133" s="35" t="s">
        <v>338</v>
      </c>
      <c r="G133" s="35" t="s">
        <v>37</v>
      </c>
      <c r="H133" s="35" t="s">
        <v>307</v>
      </c>
      <c r="I133" s="35" t="s">
        <v>424</v>
      </c>
      <c r="J133" s="35" t="s">
        <v>168</v>
      </c>
      <c r="K133" s="35" t="s">
        <v>254</v>
      </c>
      <c r="L133" s="35" t="s">
        <v>144</v>
      </c>
      <c r="M133" s="39">
        <v>0.5829</v>
      </c>
      <c r="N133" s="35" t="s">
        <v>421</v>
      </c>
    </row>
    <row r="134">
      <c r="A134" s="27">
        <v>132.0</v>
      </c>
      <c r="B134" s="164" t="s">
        <v>441</v>
      </c>
      <c r="C134" s="165" t="s">
        <v>443</v>
      </c>
      <c r="D134" s="166" t="s">
        <v>45</v>
      </c>
      <c r="E134" s="166" t="s">
        <v>228</v>
      </c>
      <c r="F134" s="166" t="s">
        <v>430</v>
      </c>
      <c r="G134" s="166" t="s">
        <v>444</v>
      </c>
      <c r="H134" s="166" t="s">
        <v>37</v>
      </c>
      <c r="I134" s="166" t="s">
        <v>185</v>
      </c>
      <c r="J134" s="166" t="s">
        <v>218</v>
      </c>
      <c r="K134" s="166" t="s">
        <v>248</v>
      </c>
      <c r="L134" s="166" t="s">
        <v>168</v>
      </c>
      <c r="M134" s="167">
        <v>0.5743</v>
      </c>
      <c r="N134" s="166" t="s">
        <v>421</v>
      </c>
    </row>
    <row r="135">
      <c r="A135" s="27">
        <v>133.0</v>
      </c>
      <c r="B135" s="30" t="s">
        <v>446</v>
      </c>
      <c r="C135" s="33" t="s">
        <v>447</v>
      </c>
      <c r="D135" s="35" t="s">
        <v>45</v>
      </c>
      <c r="E135" s="35" t="s">
        <v>318</v>
      </c>
      <c r="F135" s="35" t="s">
        <v>373</v>
      </c>
      <c r="G135" s="35" t="s">
        <v>212</v>
      </c>
      <c r="H135" s="35" t="s">
        <v>37</v>
      </c>
      <c r="I135" s="35" t="s">
        <v>295</v>
      </c>
      <c r="J135" s="35" t="s">
        <v>218</v>
      </c>
      <c r="K135" s="35" t="s">
        <v>302</v>
      </c>
      <c r="L135" s="35" t="s">
        <v>85</v>
      </c>
      <c r="M135" s="39">
        <v>0.5729</v>
      </c>
      <c r="N135" s="35" t="s">
        <v>421</v>
      </c>
    </row>
    <row r="136">
      <c r="A136" s="42">
        <v>134.0</v>
      </c>
      <c r="B136" s="30" t="s">
        <v>448</v>
      </c>
      <c r="C136" s="33" t="s">
        <v>71</v>
      </c>
      <c r="D136" s="35" t="s">
        <v>45</v>
      </c>
      <c r="E136" s="35" t="s">
        <v>85</v>
      </c>
      <c r="F136" s="35" t="s">
        <v>131</v>
      </c>
      <c r="G136" s="35" t="s">
        <v>126</v>
      </c>
      <c r="H136" s="35" t="s">
        <v>37</v>
      </c>
      <c r="I136" s="35" t="s">
        <v>131</v>
      </c>
      <c r="J136" s="35" t="s">
        <v>60</v>
      </c>
      <c r="K136" s="35" t="s">
        <v>37</v>
      </c>
      <c r="L136" s="35" t="s">
        <v>37</v>
      </c>
      <c r="M136" s="39">
        <v>0.5671</v>
      </c>
      <c r="N136" s="35" t="s">
        <v>421</v>
      </c>
    </row>
    <row r="137">
      <c r="A137" s="42">
        <v>135.0</v>
      </c>
      <c r="B137" s="30" t="s">
        <v>450</v>
      </c>
      <c r="C137" s="33" t="s">
        <v>451</v>
      </c>
      <c r="D137" s="35" t="s">
        <v>32</v>
      </c>
      <c r="E137" s="35" t="s">
        <v>185</v>
      </c>
      <c r="F137" s="35" t="s">
        <v>373</v>
      </c>
      <c r="G137" s="35" t="s">
        <v>37</v>
      </c>
      <c r="H137" s="35" t="s">
        <v>299</v>
      </c>
      <c r="I137" s="35" t="s">
        <v>385</v>
      </c>
      <c r="J137" s="35" t="s">
        <v>218</v>
      </c>
      <c r="K137" s="35" t="s">
        <v>332</v>
      </c>
      <c r="L137" s="35" t="s">
        <v>231</v>
      </c>
      <c r="M137" s="39">
        <v>0.5657</v>
      </c>
      <c r="N137" s="35" t="s">
        <v>421</v>
      </c>
    </row>
    <row r="138">
      <c r="A138" s="42">
        <v>136.0</v>
      </c>
      <c r="B138" s="30" t="s">
        <v>452</v>
      </c>
      <c r="C138" s="33" t="s">
        <v>453</v>
      </c>
      <c r="D138" s="35" t="s">
        <v>32</v>
      </c>
      <c r="E138" s="35" t="s">
        <v>218</v>
      </c>
      <c r="F138" s="35" t="s">
        <v>313</v>
      </c>
      <c r="G138" s="35" t="s">
        <v>37</v>
      </c>
      <c r="H138" s="35" t="s">
        <v>267</v>
      </c>
      <c r="I138" s="35" t="s">
        <v>454</v>
      </c>
      <c r="J138" s="35" t="s">
        <v>200</v>
      </c>
      <c r="K138" s="35" t="s">
        <v>299</v>
      </c>
      <c r="L138" s="35" t="s">
        <v>196</v>
      </c>
      <c r="M138" s="39">
        <v>0.5657</v>
      </c>
      <c r="N138" s="35" t="s">
        <v>421</v>
      </c>
    </row>
    <row r="139">
      <c r="A139" s="42">
        <v>137.0</v>
      </c>
      <c r="B139" s="30" t="s">
        <v>456</v>
      </c>
      <c r="C139" s="33" t="s">
        <v>457</v>
      </c>
      <c r="D139" s="35" t="s">
        <v>45</v>
      </c>
      <c r="E139" s="35" t="s">
        <v>362</v>
      </c>
      <c r="F139" s="35" t="s">
        <v>267</v>
      </c>
      <c r="G139" s="35" t="s">
        <v>373</v>
      </c>
      <c r="H139" s="35" t="s">
        <v>37</v>
      </c>
      <c r="I139" s="35" t="s">
        <v>313</v>
      </c>
      <c r="J139" s="35" t="s">
        <v>264</v>
      </c>
      <c r="K139" s="35" t="s">
        <v>254</v>
      </c>
      <c r="L139" s="35" t="s">
        <v>151</v>
      </c>
      <c r="M139" s="39">
        <v>0.5629</v>
      </c>
      <c r="N139" s="35" t="s">
        <v>421</v>
      </c>
    </row>
    <row r="140">
      <c r="A140" s="27">
        <v>138.0</v>
      </c>
      <c r="B140" s="30" t="s">
        <v>458</v>
      </c>
      <c r="C140" s="33" t="s">
        <v>459</v>
      </c>
      <c r="D140" s="35" t="s">
        <v>45</v>
      </c>
      <c r="E140" s="35" t="s">
        <v>372</v>
      </c>
      <c r="F140" s="35" t="s">
        <v>307</v>
      </c>
      <c r="G140" s="35" t="s">
        <v>37</v>
      </c>
      <c r="H140" s="35" t="s">
        <v>257</v>
      </c>
      <c r="I140" s="35" t="s">
        <v>254</v>
      </c>
      <c r="J140" s="35" t="s">
        <v>218</v>
      </c>
      <c r="K140" s="35" t="s">
        <v>347</v>
      </c>
      <c r="L140" s="35" t="s">
        <v>231</v>
      </c>
      <c r="M140" s="39">
        <v>0.5557</v>
      </c>
      <c r="N140" s="35" t="s">
        <v>421</v>
      </c>
    </row>
    <row r="141">
      <c r="A141" s="42">
        <v>139.0</v>
      </c>
      <c r="B141" s="30" t="s">
        <v>460</v>
      </c>
      <c r="C141" s="33" t="s">
        <v>461</v>
      </c>
      <c r="D141" s="35" t="s">
        <v>45</v>
      </c>
      <c r="E141" s="35" t="s">
        <v>248</v>
      </c>
      <c r="F141" s="35" t="s">
        <v>248</v>
      </c>
      <c r="G141" s="35" t="s">
        <v>254</v>
      </c>
      <c r="H141" s="35" t="s">
        <v>37</v>
      </c>
      <c r="I141" s="35" t="s">
        <v>420</v>
      </c>
      <c r="J141" s="35" t="s">
        <v>299</v>
      </c>
      <c r="K141" s="35" t="s">
        <v>338</v>
      </c>
      <c r="L141" s="35" t="s">
        <v>218</v>
      </c>
      <c r="M141" s="39">
        <v>0.5329</v>
      </c>
      <c r="N141" s="35" t="s">
        <v>421</v>
      </c>
    </row>
    <row r="142">
      <c r="A142" s="42">
        <v>140.0</v>
      </c>
      <c r="B142" s="30" t="s">
        <v>464</v>
      </c>
      <c r="C142" s="33" t="s">
        <v>465</v>
      </c>
      <c r="D142" s="35" t="s">
        <v>45</v>
      </c>
      <c r="E142" s="35" t="s">
        <v>243</v>
      </c>
      <c r="F142" s="35" t="s">
        <v>332</v>
      </c>
      <c r="G142" s="35" t="s">
        <v>37</v>
      </c>
      <c r="H142" s="35" t="s">
        <v>373</v>
      </c>
      <c r="I142" s="35" t="s">
        <v>347</v>
      </c>
      <c r="J142" s="35" t="s">
        <v>257</v>
      </c>
      <c r="K142" s="35" t="s">
        <v>347</v>
      </c>
      <c r="L142" s="35" t="s">
        <v>131</v>
      </c>
      <c r="M142" s="51">
        <v>0.53</v>
      </c>
      <c r="N142" s="35" t="s">
        <v>421</v>
      </c>
    </row>
    <row r="143">
      <c r="A143" s="42">
        <v>141.0</v>
      </c>
      <c r="B143" s="30" t="s">
        <v>467</v>
      </c>
      <c r="C143" s="33" t="s">
        <v>468</v>
      </c>
      <c r="D143" s="35" t="s">
        <v>32</v>
      </c>
      <c r="E143" s="35" t="s">
        <v>299</v>
      </c>
      <c r="F143" s="35" t="s">
        <v>385</v>
      </c>
      <c r="G143" s="35" t="s">
        <v>362</v>
      </c>
      <c r="H143" s="35" t="s">
        <v>37</v>
      </c>
      <c r="I143" s="35" t="s">
        <v>420</v>
      </c>
      <c r="J143" s="35" t="s">
        <v>307</v>
      </c>
      <c r="K143" s="35" t="s">
        <v>313</v>
      </c>
      <c r="L143" s="35" t="s">
        <v>103</v>
      </c>
      <c r="M143" s="39">
        <v>0.5157</v>
      </c>
      <c r="N143" s="35" t="s">
        <v>421</v>
      </c>
    </row>
    <row r="144">
      <c r="A144" s="42">
        <v>142.0</v>
      </c>
      <c r="B144" s="30" t="s">
        <v>469</v>
      </c>
      <c r="C144" s="33" t="s">
        <v>470</v>
      </c>
      <c r="D144" s="35" t="s">
        <v>45</v>
      </c>
      <c r="E144" s="35" t="s">
        <v>347</v>
      </c>
      <c r="F144" s="35" t="s">
        <v>412</v>
      </c>
      <c r="G144" s="35" t="s">
        <v>37</v>
      </c>
      <c r="H144" s="35" t="s">
        <v>318</v>
      </c>
      <c r="I144" s="35" t="s">
        <v>338</v>
      </c>
      <c r="J144" s="35" t="s">
        <v>372</v>
      </c>
      <c r="K144" s="35" t="s">
        <v>372</v>
      </c>
      <c r="L144" s="35" t="s">
        <v>185</v>
      </c>
      <c r="M144" s="39">
        <v>0.5143</v>
      </c>
      <c r="N144" s="35" t="s">
        <v>421</v>
      </c>
    </row>
    <row r="145">
      <c r="A145" s="27">
        <v>143.0</v>
      </c>
      <c r="B145" s="30" t="s">
        <v>471</v>
      </c>
      <c r="C145" s="33" t="s">
        <v>472</v>
      </c>
      <c r="D145" s="35" t="s">
        <v>45</v>
      </c>
      <c r="E145" s="35" t="s">
        <v>424</v>
      </c>
      <c r="F145" s="35" t="s">
        <v>362</v>
      </c>
      <c r="G145" s="35" t="s">
        <v>248</v>
      </c>
      <c r="H145" s="35" t="s">
        <v>37</v>
      </c>
      <c r="I145" s="35" t="s">
        <v>473</v>
      </c>
      <c r="J145" s="35" t="s">
        <v>318</v>
      </c>
      <c r="K145" s="35" t="s">
        <v>254</v>
      </c>
      <c r="L145" s="35" t="s">
        <v>72</v>
      </c>
      <c r="M145" s="39">
        <v>0.5143</v>
      </c>
      <c r="N145" s="35" t="s">
        <v>421</v>
      </c>
    </row>
    <row r="146">
      <c r="A146" s="27">
        <v>144.0</v>
      </c>
      <c r="B146" s="30" t="s">
        <v>474</v>
      </c>
      <c r="C146" s="33" t="s">
        <v>475</v>
      </c>
      <c r="D146" s="35" t="s">
        <v>45</v>
      </c>
      <c r="E146" s="35" t="s">
        <v>228</v>
      </c>
      <c r="F146" s="35" t="s">
        <v>338</v>
      </c>
      <c r="G146" s="35" t="s">
        <v>424</v>
      </c>
      <c r="H146" s="35" t="s">
        <v>37</v>
      </c>
      <c r="I146" s="35" t="s">
        <v>286</v>
      </c>
      <c r="J146" s="35" t="s">
        <v>254</v>
      </c>
      <c r="K146" s="35" t="s">
        <v>424</v>
      </c>
      <c r="L146" s="35" t="s">
        <v>203</v>
      </c>
      <c r="M146" s="51">
        <v>0.51</v>
      </c>
      <c r="N146" s="35" t="s">
        <v>421</v>
      </c>
    </row>
    <row r="147">
      <c r="A147" s="42">
        <v>145.0</v>
      </c>
      <c r="B147" s="30" t="s">
        <v>477</v>
      </c>
      <c r="C147" s="33" t="s">
        <v>478</v>
      </c>
      <c r="D147" s="35" t="s">
        <v>45</v>
      </c>
      <c r="E147" s="35" t="s">
        <v>372</v>
      </c>
      <c r="F147" s="35" t="s">
        <v>373</v>
      </c>
      <c r="G147" s="35" t="s">
        <v>424</v>
      </c>
      <c r="H147" s="35" t="s">
        <v>37</v>
      </c>
      <c r="I147" s="35" t="s">
        <v>479</v>
      </c>
      <c r="J147" s="35" t="s">
        <v>318</v>
      </c>
      <c r="K147" s="35" t="s">
        <v>373</v>
      </c>
      <c r="L147" s="35" t="s">
        <v>152</v>
      </c>
      <c r="M147" s="39">
        <v>0.5086</v>
      </c>
      <c r="N147" s="35" t="s">
        <v>421</v>
      </c>
    </row>
    <row r="148">
      <c r="A148" s="42">
        <v>146.0</v>
      </c>
      <c r="B148" s="30" t="s">
        <v>480</v>
      </c>
      <c r="C148" s="33" t="s">
        <v>481</v>
      </c>
      <c r="D148" s="35" t="s">
        <v>45</v>
      </c>
      <c r="E148" s="35" t="s">
        <v>248</v>
      </c>
      <c r="F148" s="35" t="s">
        <v>373</v>
      </c>
      <c r="G148" s="35" t="s">
        <v>37</v>
      </c>
      <c r="H148" s="35" t="s">
        <v>307</v>
      </c>
      <c r="I148" s="35" t="s">
        <v>430</v>
      </c>
      <c r="J148" s="35" t="s">
        <v>248</v>
      </c>
      <c r="K148" s="35" t="s">
        <v>391</v>
      </c>
      <c r="L148" s="35" t="s">
        <v>164</v>
      </c>
      <c r="M148" s="39">
        <v>0.5086</v>
      </c>
      <c r="N148" s="35" t="s">
        <v>421</v>
      </c>
    </row>
    <row r="149">
      <c r="A149" s="42">
        <v>147.0</v>
      </c>
      <c r="B149" s="30" t="s">
        <v>483</v>
      </c>
      <c r="C149" s="33" t="s">
        <v>484</v>
      </c>
      <c r="D149" s="35" t="s">
        <v>32</v>
      </c>
      <c r="E149" s="35" t="s">
        <v>385</v>
      </c>
      <c r="F149" s="35" t="s">
        <v>385</v>
      </c>
      <c r="G149" s="35" t="s">
        <v>332</v>
      </c>
      <c r="H149" s="35" t="s">
        <v>37</v>
      </c>
      <c r="I149" s="35" t="s">
        <v>485</v>
      </c>
      <c r="J149" s="35" t="s">
        <v>257</v>
      </c>
      <c r="K149" s="35" t="s">
        <v>302</v>
      </c>
      <c r="L149" s="35" t="s">
        <v>164</v>
      </c>
      <c r="M149" s="39">
        <v>0.4771</v>
      </c>
      <c r="N149" s="35" t="s">
        <v>487</v>
      </c>
    </row>
    <row r="150">
      <c r="A150" s="42">
        <v>148.0</v>
      </c>
      <c r="B150" s="30" t="s">
        <v>488</v>
      </c>
      <c r="C150" s="33" t="s">
        <v>489</v>
      </c>
      <c r="D150" s="35" t="s">
        <v>45</v>
      </c>
      <c r="E150" s="35" t="s">
        <v>385</v>
      </c>
      <c r="F150" s="35" t="s">
        <v>332</v>
      </c>
      <c r="G150" s="35" t="s">
        <v>385</v>
      </c>
      <c r="H150" s="35" t="s">
        <v>37</v>
      </c>
      <c r="I150" s="35" t="s">
        <v>412</v>
      </c>
      <c r="J150" s="35" t="s">
        <v>254</v>
      </c>
      <c r="K150" s="35" t="s">
        <v>332</v>
      </c>
      <c r="L150" s="35" t="s">
        <v>267</v>
      </c>
      <c r="M150" s="39">
        <v>0.4743</v>
      </c>
      <c r="N150" s="35" t="s">
        <v>487</v>
      </c>
    </row>
    <row r="151">
      <c r="A151" s="27">
        <v>149.0</v>
      </c>
      <c r="B151" s="30" t="s">
        <v>491</v>
      </c>
      <c r="C151" s="33" t="s">
        <v>492</v>
      </c>
      <c r="D151" s="35" t="s">
        <v>45</v>
      </c>
      <c r="E151" s="35" t="s">
        <v>373</v>
      </c>
      <c r="F151" s="35" t="s">
        <v>420</v>
      </c>
      <c r="G151" s="35" t="s">
        <v>338</v>
      </c>
      <c r="H151" s="35" t="s">
        <v>37</v>
      </c>
      <c r="I151" s="35" t="s">
        <v>494</v>
      </c>
      <c r="J151" s="35" t="s">
        <v>318</v>
      </c>
      <c r="K151" s="35" t="s">
        <v>391</v>
      </c>
      <c r="L151" s="35" t="s">
        <v>231</v>
      </c>
      <c r="M151" s="39">
        <v>0.4743</v>
      </c>
      <c r="N151" s="35" t="s">
        <v>487</v>
      </c>
    </row>
    <row r="152">
      <c r="A152" s="42">
        <v>150.0</v>
      </c>
      <c r="B152" s="30" t="s">
        <v>496</v>
      </c>
      <c r="C152" s="33" t="s">
        <v>497</v>
      </c>
      <c r="D152" s="35" t="s">
        <v>32</v>
      </c>
      <c r="E152" s="35" t="s">
        <v>430</v>
      </c>
      <c r="F152" s="35" t="s">
        <v>347</v>
      </c>
      <c r="G152" s="35" t="s">
        <v>332</v>
      </c>
      <c r="H152" s="35" t="s">
        <v>37</v>
      </c>
      <c r="I152" s="35" t="s">
        <v>479</v>
      </c>
      <c r="J152" s="35" t="s">
        <v>302</v>
      </c>
      <c r="K152" s="35" t="s">
        <v>430</v>
      </c>
      <c r="L152" s="35" t="s">
        <v>185</v>
      </c>
      <c r="M152" s="51">
        <v>0.45</v>
      </c>
      <c r="N152" s="35" t="s">
        <v>487</v>
      </c>
    </row>
    <row r="153">
      <c r="A153" s="42">
        <v>151.0</v>
      </c>
      <c r="B153" s="30" t="s">
        <v>499</v>
      </c>
      <c r="C153" s="33" t="s">
        <v>500</v>
      </c>
      <c r="D153" s="35" t="s">
        <v>45</v>
      </c>
      <c r="E153" s="35" t="s">
        <v>454</v>
      </c>
      <c r="F153" s="35" t="s">
        <v>420</v>
      </c>
      <c r="G153" s="35" t="s">
        <v>424</v>
      </c>
      <c r="H153" s="35" t="s">
        <v>37</v>
      </c>
      <c r="I153" s="35" t="s">
        <v>438</v>
      </c>
      <c r="J153" s="35" t="s">
        <v>430</v>
      </c>
      <c r="K153" s="35" t="s">
        <v>430</v>
      </c>
      <c r="L153" s="35" t="s">
        <v>196</v>
      </c>
      <c r="M153" s="39">
        <v>0.4443</v>
      </c>
      <c r="N153" s="35" t="s">
        <v>487</v>
      </c>
    </row>
    <row r="154">
      <c r="A154" s="42">
        <v>152.0</v>
      </c>
      <c r="B154" s="30" t="s">
        <v>502</v>
      </c>
      <c r="C154" s="33" t="s">
        <v>503</v>
      </c>
      <c r="D154" s="35" t="s">
        <v>45</v>
      </c>
      <c r="E154" s="35" t="s">
        <v>412</v>
      </c>
      <c r="F154" s="35" t="s">
        <v>391</v>
      </c>
      <c r="G154" s="35" t="s">
        <v>313</v>
      </c>
      <c r="H154" s="35" t="s">
        <v>37</v>
      </c>
      <c r="I154" s="35" t="s">
        <v>286</v>
      </c>
      <c r="J154" s="35" t="s">
        <v>373</v>
      </c>
      <c r="K154" s="35" t="s">
        <v>444</v>
      </c>
      <c r="L154" s="35" t="s">
        <v>212</v>
      </c>
      <c r="M154" s="39">
        <v>0.4343</v>
      </c>
      <c r="N154" s="35" t="s">
        <v>487</v>
      </c>
    </row>
    <row r="155">
      <c r="A155" s="42">
        <v>153.0</v>
      </c>
      <c r="B155" s="30" t="s">
        <v>505</v>
      </c>
      <c r="C155" s="33" t="s">
        <v>506</v>
      </c>
      <c r="D155" s="35" t="s">
        <v>45</v>
      </c>
      <c r="E155" s="35" t="s">
        <v>391</v>
      </c>
      <c r="F155" s="35" t="s">
        <v>385</v>
      </c>
      <c r="G155" s="35" t="s">
        <v>338</v>
      </c>
      <c r="H155" s="35" t="s">
        <v>37</v>
      </c>
      <c r="I155" s="35" t="s">
        <v>344</v>
      </c>
      <c r="J155" s="35" t="s">
        <v>494</v>
      </c>
      <c r="K155" s="35" t="s">
        <v>454</v>
      </c>
      <c r="L155" s="35" t="s">
        <v>164</v>
      </c>
      <c r="M155" s="39">
        <v>0.4286</v>
      </c>
      <c r="N155" s="35" t="s">
        <v>487</v>
      </c>
    </row>
    <row r="156">
      <c r="A156" s="27">
        <v>154.0</v>
      </c>
      <c r="B156" s="30" t="s">
        <v>508</v>
      </c>
      <c r="C156" s="33" t="s">
        <v>509</v>
      </c>
      <c r="D156" s="35" t="s">
        <v>32</v>
      </c>
      <c r="E156" s="35" t="s">
        <v>420</v>
      </c>
      <c r="F156" s="35" t="s">
        <v>295</v>
      </c>
      <c r="G156" s="35" t="s">
        <v>362</v>
      </c>
      <c r="H156" s="35" t="s">
        <v>37</v>
      </c>
      <c r="I156" s="35" t="s">
        <v>511</v>
      </c>
      <c r="J156" s="35" t="s">
        <v>338</v>
      </c>
      <c r="K156" s="35" t="s">
        <v>444</v>
      </c>
      <c r="L156" s="35" t="s">
        <v>227</v>
      </c>
      <c r="M156" s="39">
        <v>0.4229</v>
      </c>
      <c r="N156" s="35" t="s">
        <v>487</v>
      </c>
    </row>
    <row r="157">
      <c r="A157" s="27">
        <v>155.0</v>
      </c>
      <c r="B157" s="30" t="s">
        <v>512</v>
      </c>
      <c r="C157" s="33" t="s">
        <v>514</v>
      </c>
      <c r="D157" s="35" t="s">
        <v>32</v>
      </c>
      <c r="E157" s="35" t="s">
        <v>515</v>
      </c>
      <c r="F157" s="35" t="s">
        <v>424</v>
      </c>
      <c r="G157" s="35" t="s">
        <v>248</v>
      </c>
      <c r="H157" s="35" t="s">
        <v>37</v>
      </c>
      <c r="I157" s="35" t="s">
        <v>454</v>
      </c>
      <c r="J157" s="35" t="s">
        <v>332</v>
      </c>
      <c r="K157" s="35" t="s">
        <v>412</v>
      </c>
      <c r="L157" s="35" t="s">
        <v>267</v>
      </c>
      <c r="M157" s="39">
        <v>0.4229</v>
      </c>
      <c r="N157" s="35" t="s">
        <v>487</v>
      </c>
    </row>
    <row r="158">
      <c r="A158" s="42">
        <v>156.0</v>
      </c>
      <c r="B158" s="30" t="s">
        <v>518</v>
      </c>
      <c r="C158" s="33" t="s">
        <v>519</v>
      </c>
      <c r="D158" s="35" t="s">
        <v>45</v>
      </c>
      <c r="E158" s="35" t="s">
        <v>438</v>
      </c>
      <c r="F158" s="35" t="s">
        <v>295</v>
      </c>
      <c r="G158" s="35" t="s">
        <v>344</v>
      </c>
      <c r="H158" s="35" t="s">
        <v>37</v>
      </c>
      <c r="I158" s="35" t="s">
        <v>344</v>
      </c>
      <c r="J158" s="35" t="s">
        <v>391</v>
      </c>
      <c r="K158" s="35" t="s">
        <v>286</v>
      </c>
      <c r="L158" s="35" t="s">
        <v>267</v>
      </c>
      <c r="M158" s="39">
        <v>0.3843</v>
      </c>
      <c r="N158" s="35" t="s">
        <v>521</v>
      </c>
    </row>
    <row r="159">
      <c r="A159" s="42">
        <v>157.0</v>
      </c>
      <c r="B159" s="30" t="s">
        <v>522</v>
      </c>
      <c r="C159" s="33" t="s">
        <v>523</v>
      </c>
      <c r="D159" s="35" t="s">
        <v>45</v>
      </c>
      <c r="E159" s="35" t="s">
        <v>424</v>
      </c>
      <c r="F159" s="35" t="s">
        <v>438</v>
      </c>
      <c r="G159" s="35" t="s">
        <v>430</v>
      </c>
      <c r="H159" s="35" t="s">
        <v>37</v>
      </c>
      <c r="I159" s="35" t="s">
        <v>438</v>
      </c>
      <c r="J159" s="35" t="s">
        <v>438</v>
      </c>
      <c r="K159" s="35" t="s">
        <v>420</v>
      </c>
      <c r="L159" s="35" t="s">
        <v>37</v>
      </c>
      <c r="M159" s="39">
        <v>0.3429</v>
      </c>
      <c r="N159" s="35" t="s">
        <v>521</v>
      </c>
    </row>
    <row r="160">
      <c r="A160" s="42">
        <v>158.0</v>
      </c>
      <c r="B160" s="30" t="s">
        <v>525</v>
      </c>
      <c r="C160" s="33" t="s">
        <v>526</v>
      </c>
      <c r="D160" s="35" t="s">
        <v>45</v>
      </c>
      <c r="E160" s="35" t="s">
        <v>37</v>
      </c>
      <c r="F160" s="35" t="s">
        <v>264</v>
      </c>
      <c r="G160" s="35" t="s">
        <v>37</v>
      </c>
      <c r="H160" s="35" t="s">
        <v>37</v>
      </c>
      <c r="I160" s="35" t="s">
        <v>494</v>
      </c>
      <c r="J160" s="35" t="s">
        <v>37</v>
      </c>
      <c r="K160" s="35" t="s">
        <v>338</v>
      </c>
      <c r="L160" s="35" t="s">
        <v>37</v>
      </c>
      <c r="M160" s="39">
        <v>0.2014</v>
      </c>
      <c r="N160" s="35" t="s">
        <v>528</v>
      </c>
    </row>
    <row r="161">
      <c r="A161" s="42">
        <v>159.0</v>
      </c>
      <c r="B161" s="30" t="s">
        <v>530</v>
      </c>
      <c r="C161" s="33" t="s">
        <v>531</v>
      </c>
      <c r="D161" s="35" t="s">
        <v>45</v>
      </c>
      <c r="E161" s="35" t="s">
        <v>37</v>
      </c>
      <c r="F161" s="35" t="s">
        <v>37</v>
      </c>
      <c r="G161" s="35" t="s">
        <v>37</v>
      </c>
      <c r="H161" s="35" t="s">
        <v>37</v>
      </c>
      <c r="I161" s="35" t="s">
        <v>37</v>
      </c>
      <c r="J161" s="35" t="s">
        <v>318</v>
      </c>
      <c r="K161" s="35" t="s">
        <v>37</v>
      </c>
      <c r="L161" s="35" t="s">
        <v>37</v>
      </c>
      <c r="M161" s="51">
        <v>0.08</v>
      </c>
      <c r="N161" s="35" t="s">
        <v>528</v>
      </c>
    </row>
    <row r="162">
      <c r="A162" s="27">
        <v>160.0</v>
      </c>
      <c r="B162" s="30" t="s">
        <v>533</v>
      </c>
      <c r="C162" s="33" t="s">
        <v>534</v>
      </c>
      <c r="D162" s="35" t="s">
        <v>32</v>
      </c>
      <c r="E162" s="35" t="s">
        <v>37</v>
      </c>
      <c r="F162" s="35" t="s">
        <v>37</v>
      </c>
      <c r="G162" s="35" t="s">
        <v>37</v>
      </c>
      <c r="H162" s="35" t="s">
        <v>37</v>
      </c>
      <c r="I162" s="35" t="s">
        <v>37</v>
      </c>
      <c r="J162" s="35" t="s">
        <v>37</v>
      </c>
      <c r="K162" s="35" t="s">
        <v>37</v>
      </c>
      <c r="L162" s="35" t="s">
        <v>37</v>
      </c>
      <c r="M162" s="51">
        <v>0.0</v>
      </c>
      <c r="N162" s="35" t="s">
        <v>528</v>
      </c>
    </row>
    <row r="163">
      <c r="A163" s="99"/>
      <c r="B163" s="183"/>
      <c r="C163" s="99"/>
      <c r="D163" s="99"/>
      <c r="E163" s="99"/>
      <c r="F163" s="99"/>
      <c r="G163" s="99"/>
      <c r="H163" s="99"/>
      <c r="I163" s="99"/>
      <c r="J163" s="99"/>
      <c r="K163" s="99"/>
      <c r="L163" s="99"/>
      <c r="M163" s="99"/>
      <c r="N163" s="99"/>
    </row>
    <row r="164">
      <c r="A164" s="185"/>
      <c r="B164" s="187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</row>
    <row r="165">
      <c r="A165" s="185"/>
      <c r="B165" s="187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</row>
    <row r="166">
      <c r="A166" s="185"/>
      <c r="B166" s="187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</row>
    <row r="167">
      <c r="A167" s="185"/>
      <c r="B167" s="187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</row>
    <row r="168">
      <c r="A168" s="185"/>
      <c r="B168" s="187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</row>
    <row r="169">
      <c r="A169" s="185"/>
      <c r="B169" s="187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</row>
    <row r="170">
      <c r="A170" s="185"/>
      <c r="B170" s="187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</row>
    <row r="171">
      <c r="A171" s="185"/>
      <c r="B171" s="187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</row>
    <row r="172">
      <c r="A172" s="185"/>
      <c r="B172" s="187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</row>
    <row r="173">
      <c r="A173" s="185"/>
      <c r="B173" s="187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</row>
    <row r="174">
      <c r="A174" s="185"/>
      <c r="B174" s="187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</row>
    <row r="175">
      <c r="A175" s="185"/>
      <c r="B175" s="187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</row>
    <row r="176">
      <c r="A176" s="185"/>
      <c r="B176" s="187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</row>
    <row r="177">
      <c r="A177" s="185"/>
      <c r="B177" s="187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</row>
    <row r="178">
      <c r="A178" s="185"/>
      <c r="B178" s="187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</row>
    <row r="179">
      <c r="A179" s="185"/>
      <c r="B179" s="187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</row>
    <row r="180">
      <c r="A180" s="185"/>
      <c r="B180" s="187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</row>
    <row r="181">
      <c r="A181" s="185"/>
      <c r="B181" s="187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</row>
    <row r="182">
      <c r="A182" s="185"/>
      <c r="B182" s="187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</row>
    <row r="183">
      <c r="A183" s="185"/>
      <c r="B183" s="187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</row>
    <row r="184">
      <c r="A184" s="185"/>
      <c r="B184" s="187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</row>
    <row r="185">
      <c r="A185" s="185"/>
      <c r="B185" s="187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</row>
    <row r="186">
      <c r="A186" s="185"/>
      <c r="B186" s="187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</row>
    <row r="187">
      <c r="A187" s="185"/>
      <c r="B187" s="187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</row>
    <row r="188">
      <c r="A188" s="185"/>
      <c r="B188" s="187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</row>
    <row r="189">
      <c r="A189" s="185"/>
      <c r="B189" s="187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</row>
    <row r="190">
      <c r="A190" s="185"/>
      <c r="B190" s="187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</row>
    <row r="191">
      <c r="A191" s="185"/>
      <c r="B191" s="187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</row>
    <row r="192">
      <c r="A192" s="185"/>
      <c r="B192" s="187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</row>
    <row r="193">
      <c r="A193" s="185"/>
      <c r="B193" s="187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</row>
    <row r="194">
      <c r="A194" s="185"/>
      <c r="B194" s="187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</row>
    <row r="195">
      <c r="A195" s="185"/>
      <c r="B195" s="187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</row>
    <row r="196">
      <c r="A196" s="185"/>
      <c r="B196" s="187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</row>
    <row r="197">
      <c r="A197" s="185"/>
      <c r="B197" s="187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</row>
    <row r="198">
      <c r="A198" s="185"/>
      <c r="B198" s="187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</row>
    <row r="199">
      <c r="A199" s="185"/>
      <c r="B199" s="187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</row>
    <row r="200">
      <c r="A200" s="185"/>
      <c r="B200" s="187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</row>
    <row r="201">
      <c r="A201" s="185"/>
      <c r="B201" s="187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</row>
    <row r="202">
      <c r="A202" s="185"/>
      <c r="B202" s="187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</row>
    <row r="203">
      <c r="A203" s="185"/>
      <c r="B203" s="187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</row>
    <row r="204">
      <c r="A204" s="185"/>
      <c r="B204" s="187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</row>
    <row r="205">
      <c r="A205" s="185"/>
      <c r="B205" s="187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</row>
    <row r="206">
      <c r="A206" s="185"/>
      <c r="B206" s="187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</row>
    <row r="207">
      <c r="A207" s="185"/>
      <c r="B207" s="187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</row>
    <row r="208">
      <c r="A208" s="185"/>
      <c r="B208" s="187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</row>
    <row r="209">
      <c r="A209" s="185"/>
      <c r="B209" s="187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</row>
    <row r="210">
      <c r="A210" s="185"/>
      <c r="B210" s="187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</row>
    <row r="211">
      <c r="A211" s="185"/>
      <c r="B211" s="187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</row>
    <row r="212">
      <c r="A212" s="185"/>
      <c r="B212" s="187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</row>
    <row r="213">
      <c r="A213" s="185"/>
      <c r="B213" s="187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</row>
    <row r="214">
      <c r="A214" s="185"/>
      <c r="B214" s="187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</row>
    <row r="215">
      <c r="A215" s="185"/>
      <c r="B215" s="187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</row>
    <row r="216">
      <c r="A216" s="185"/>
      <c r="B216" s="187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</row>
    <row r="217">
      <c r="A217" s="185"/>
      <c r="B217" s="187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</row>
    <row r="218">
      <c r="A218" s="185"/>
      <c r="B218" s="187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</row>
    <row r="219">
      <c r="A219" s="185"/>
      <c r="B219" s="187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</row>
    <row r="220">
      <c r="A220" s="185"/>
      <c r="B220" s="187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</row>
    <row r="221">
      <c r="A221" s="185"/>
      <c r="B221" s="187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</row>
    <row r="222">
      <c r="A222" s="185"/>
      <c r="B222" s="187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</row>
    <row r="223">
      <c r="A223" s="185"/>
      <c r="B223" s="187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</row>
    <row r="224">
      <c r="A224" s="185"/>
      <c r="B224" s="187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</row>
    <row r="225">
      <c r="A225" s="185"/>
      <c r="B225" s="187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</row>
    <row r="226">
      <c r="A226" s="185"/>
      <c r="B226" s="187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</row>
    <row r="227">
      <c r="A227" s="185"/>
      <c r="B227" s="187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</row>
    <row r="228">
      <c r="A228" s="185"/>
      <c r="B228" s="187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</row>
    <row r="229">
      <c r="A229" s="185"/>
      <c r="B229" s="187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</row>
    <row r="230">
      <c r="A230" s="185"/>
      <c r="B230" s="187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</row>
    <row r="231">
      <c r="A231" s="185"/>
      <c r="B231" s="187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</row>
    <row r="232">
      <c r="A232" s="185"/>
      <c r="B232" s="187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</row>
    <row r="233">
      <c r="A233" s="185"/>
      <c r="B233" s="187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</row>
    <row r="234">
      <c r="A234" s="185"/>
      <c r="B234" s="187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</row>
    <row r="235">
      <c r="A235" s="185"/>
      <c r="B235" s="187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</row>
    <row r="236">
      <c r="A236" s="185"/>
      <c r="B236" s="187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</row>
    <row r="237">
      <c r="A237" s="185"/>
      <c r="B237" s="187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</row>
    <row r="238">
      <c r="A238" s="185"/>
      <c r="B238" s="187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</row>
    <row r="239">
      <c r="A239" s="185"/>
      <c r="B239" s="187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</row>
    <row r="240">
      <c r="A240" s="185"/>
      <c r="B240" s="187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</row>
    <row r="241">
      <c r="A241" s="185"/>
      <c r="B241" s="187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</row>
    <row r="242">
      <c r="A242" s="185"/>
      <c r="B242" s="187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</row>
    <row r="243">
      <c r="A243" s="185"/>
      <c r="B243" s="187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</row>
    <row r="244">
      <c r="A244" s="185"/>
      <c r="B244" s="187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</row>
    <row r="245">
      <c r="A245" s="185"/>
      <c r="B245" s="187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</row>
    <row r="246">
      <c r="A246" s="185"/>
      <c r="B246" s="187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</row>
    <row r="247">
      <c r="A247" s="185"/>
      <c r="B247" s="187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</row>
    <row r="248">
      <c r="A248" s="185"/>
      <c r="B248" s="187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</row>
    <row r="249">
      <c r="A249" s="185"/>
      <c r="B249" s="187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</row>
    <row r="250">
      <c r="A250" s="185"/>
      <c r="B250" s="187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</row>
    <row r="251">
      <c r="A251" s="185"/>
      <c r="B251" s="187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</row>
    <row r="252">
      <c r="A252" s="185"/>
      <c r="B252" s="187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</row>
    <row r="253">
      <c r="A253" s="185"/>
      <c r="B253" s="187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</row>
    <row r="254">
      <c r="A254" s="185"/>
      <c r="B254" s="187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</row>
    <row r="255">
      <c r="A255" s="185"/>
      <c r="B255" s="187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</row>
    <row r="256">
      <c r="A256" s="185"/>
      <c r="B256" s="187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</row>
    <row r="257">
      <c r="A257" s="185"/>
      <c r="B257" s="187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</row>
    <row r="258">
      <c r="A258" s="185"/>
      <c r="B258" s="187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</row>
    <row r="259">
      <c r="A259" s="185"/>
      <c r="B259" s="187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</row>
    <row r="260">
      <c r="A260" s="185"/>
      <c r="B260" s="187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</row>
    <row r="261">
      <c r="A261" s="185"/>
      <c r="B261" s="187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</row>
    <row r="262">
      <c r="A262" s="185"/>
      <c r="B262" s="187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</row>
    <row r="263">
      <c r="A263" s="185"/>
      <c r="B263" s="187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</row>
    <row r="264">
      <c r="A264" s="185"/>
      <c r="B264" s="187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</row>
    <row r="265">
      <c r="A265" s="185"/>
      <c r="B265" s="187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</row>
    <row r="266">
      <c r="A266" s="185"/>
      <c r="B266" s="187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</row>
    <row r="267">
      <c r="A267" s="185"/>
      <c r="B267" s="187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</row>
    <row r="268">
      <c r="A268" s="185"/>
      <c r="B268" s="187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</row>
    <row r="269">
      <c r="A269" s="185"/>
      <c r="B269" s="187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</row>
    <row r="270">
      <c r="A270" s="185"/>
      <c r="B270" s="187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</row>
    <row r="271">
      <c r="A271" s="185"/>
      <c r="B271" s="187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</row>
    <row r="272">
      <c r="A272" s="185"/>
      <c r="B272" s="187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</row>
    <row r="273">
      <c r="A273" s="185"/>
      <c r="B273" s="187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</row>
    <row r="274">
      <c r="A274" s="185"/>
      <c r="B274" s="187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</row>
    <row r="275">
      <c r="A275" s="185"/>
      <c r="B275" s="187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</row>
    <row r="276">
      <c r="A276" s="185"/>
      <c r="B276" s="187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</row>
    <row r="277">
      <c r="A277" s="185"/>
      <c r="B277" s="187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</row>
    <row r="278">
      <c r="A278" s="185"/>
      <c r="B278" s="187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</row>
    <row r="279">
      <c r="A279" s="185"/>
      <c r="B279" s="187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</row>
    <row r="280">
      <c r="A280" s="185"/>
      <c r="B280" s="187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</row>
    <row r="281">
      <c r="A281" s="185"/>
      <c r="B281" s="187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</row>
    <row r="282">
      <c r="A282" s="185"/>
      <c r="B282" s="187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</row>
    <row r="283">
      <c r="A283" s="185"/>
      <c r="B283" s="187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</row>
    <row r="284">
      <c r="A284" s="185"/>
      <c r="B284" s="187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</row>
    <row r="285">
      <c r="A285" s="185"/>
      <c r="B285" s="187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</row>
    <row r="286">
      <c r="A286" s="185"/>
      <c r="B286" s="187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</row>
    <row r="287">
      <c r="A287" s="185"/>
      <c r="B287" s="187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</row>
    <row r="288">
      <c r="A288" s="185"/>
      <c r="B288" s="187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</row>
    <row r="289">
      <c r="A289" s="185"/>
      <c r="B289" s="187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</row>
    <row r="290">
      <c r="A290" s="185"/>
      <c r="B290" s="187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</row>
    <row r="291">
      <c r="A291" s="185"/>
      <c r="B291" s="187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</row>
    <row r="292">
      <c r="A292" s="185"/>
      <c r="B292" s="187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</row>
    <row r="293">
      <c r="A293" s="185"/>
      <c r="B293" s="187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</row>
    <row r="294">
      <c r="A294" s="185"/>
      <c r="B294" s="187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</row>
    <row r="295">
      <c r="A295" s="185"/>
      <c r="B295" s="187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</row>
    <row r="296">
      <c r="A296" s="185"/>
      <c r="B296" s="187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</row>
    <row r="297">
      <c r="A297" s="185"/>
      <c r="B297" s="187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</row>
    <row r="298">
      <c r="A298" s="185"/>
      <c r="B298" s="187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</row>
    <row r="299">
      <c r="A299" s="185"/>
      <c r="B299" s="187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</row>
    <row r="300">
      <c r="A300" s="185"/>
      <c r="B300" s="187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</row>
    <row r="301">
      <c r="A301" s="185"/>
      <c r="B301" s="187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</row>
    <row r="302">
      <c r="A302" s="185"/>
      <c r="B302" s="187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</row>
    <row r="303">
      <c r="A303" s="185"/>
      <c r="B303" s="187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</row>
    <row r="304">
      <c r="A304" s="185"/>
      <c r="B304" s="187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</row>
    <row r="305">
      <c r="A305" s="185"/>
      <c r="B305" s="187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</row>
    <row r="306">
      <c r="A306" s="185"/>
      <c r="B306" s="187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</row>
    <row r="307">
      <c r="A307" s="185"/>
      <c r="B307" s="187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</row>
    <row r="308">
      <c r="A308" s="185"/>
      <c r="B308" s="187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</row>
    <row r="309">
      <c r="A309" s="185"/>
      <c r="B309" s="187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</row>
    <row r="310">
      <c r="A310" s="185"/>
      <c r="B310" s="187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</row>
    <row r="311">
      <c r="A311" s="185"/>
      <c r="B311" s="187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</row>
    <row r="312">
      <c r="A312" s="185"/>
      <c r="B312" s="187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</row>
    <row r="313">
      <c r="A313" s="185"/>
      <c r="B313" s="187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</row>
    <row r="314">
      <c r="A314" s="185"/>
      <c r="B314" s="187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</row>
    <row r="315">
      <c r="A315" s="185"/>
      <c r="B315" s="187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</row>
    <row r="316">
      <c r="A316" s="185"/>
      <c r="B316" s="187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</row>
    <row r="317">
      <c r="A317" s="185"/>
      <c r="B317" s="187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</row>
    <row r="318">
      <c r="A318" s="185"/>
      <c r="B318" s="187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</row>
    <row r="319">
      <c r="A319" s="185"/>
      <c r="B319" s="187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</row>
    <row r="320">
      <c r="A320" s="185"/>
      <c r="B320" s="187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</row>
    <row r="321">
      <c r="A321" s="185"/>
      <c r="B321" s="187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</row>
    <row r="322">
      <c r="A322" s="185"/>
      <c r="B322" s="187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</row>
    <row r="323">
      <c r="A323" s="185"/>
      <c r="B323" s="187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</row>
    <row r="324">
      <c r="A324" s="185"/>
      <c r="B324" s="187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</row>
    <row r="325">
      <c r="A325" s="185"/>
      <c r="B325" s="187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</row>
    <row r="326">
      <c r="A326" s="185"/>
      <c r="B326" s="187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</row>
    <row r="327">
      <c r="A327" s="185"/>
      <c r="B327" s="187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</row>
    <row r="328">
      <c r="A328" s="185"/>
      <c r="B328" s="187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</row>
    <row r="329">
      <c r="A329" s="185"/>
      <c r="B329" s="187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</row>
    <row r="330">
      <c r="A330" s="185"/>
      <c r="B330" s="187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</row>
    <row r="331">
      <c r="A331" s="185"/>
      <c r="B331" s="187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</row>
    <row r="332">
      <c r="A332" s="185"/>
      <c r="B332" s="187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</row>
    <row r="333">
      <c r="A333" s="185"/>
      <c r="B333" s="187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</row>
    <row r="334">
      <c r="A334" s="185"/>
      <c r="B334" s="187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</row>
    <row r="335">
      <c r="A335" s="185"/>
      <c r="B335" s="187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</row>
    <row r="336">
      <c r="A336" s="185"/>
      <c r="B336" s="187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</row>
    <row r="337">
      <c r="A337" s="185"/>
      <c r="B337" s="187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</row>
    <row r="338">
      <c r="A338" s="185"/>
      <c r="B338" s="187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</row>
    <row r="339">
      <c r="A339" s="185"/>
      <c r="B339" s="187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</row>
    <row r="340">
      <c r="A340" s="185"/>
      <c r="B340" s="187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</row>
    <row r="341">
      <c r="A341" s="185"/>
      <c r="B341" s="187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</row>
    <row r="342">
      <c r="A342" s="185"/>
      <c r="B342" s="187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</row>
    <row r="343">
      <c r="A343" s="185"/>
      <c r="B343" s="187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</row>
    <row r="344">
      <c r="A344" s="185"/>
      <c r="B344" s="187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</row>
    <row r="345">
      <c r="A345" s="185"/>
      <c r="B345" s="187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</row>
    <row r="346">
      <c r="A346" s="185"/>
      <c r="B346" s="187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</row>
    <row r="347">
      <c r="A347" s="185"/>
      <c r="B347" s="187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</row>
    <row r="348">
      <c r="A348" s="185"/>
      <c r="B348" s="187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</row>
    <row r="349">
      <c r="A349" s="185"/>
      <c r="B349" s="187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</row>
    <row r="350">
      <c r="A350" s="185"/>
      <c r="B350" s="187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</row>
    <row r="351">
      <c r="A351" s="185"/>
      <c r="B351" s="187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</row>
    <row r="352">
      <c r="A352" s="185"/>
      <c r="B352" s="187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</row>
    <row r="353">
      <c r="A353" s="185"/>
      <c r="B353" s="187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</row>
    <row r="354">
      <c r="A354" s="185"/>
      <c r="B354" s="187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</row>
    <row r="355">
      <c r="A355" s="185"/>
      <c r="B355" s="187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</row>
    <row r="356">
      <c r="A356" s="185"/>
      <c r="B356" s="187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</row>
    <row r="357">
      <c r="A357" s="185"/>
      <c r="B357" s="187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</row>
    <row r="358">
      <c r="A358" s="185"/>
      <c r="B358" s="187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</row>
    <row r="359">
      <c r="A359" s="185"/>
      <c r="B359" s="187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</row>
    <row r="360">
      <c r="A360" s="185"/>
      <c r="B360" s="187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</row>
    <row r="361">
      <c r="A361" s="185"/>
      <c r="B361" s="187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</row>
    <row r="362">
      <c r="A362" s="185"/>
      <c r="B362" s="187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</row>
    <row r="363">
      <c r="A363" s="185"/>
      <c r="B363" s="187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</row>
    <row r="364">
      <c r="A364" s="185"/>
      <c r="B364" s="187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</row>
    <row r="365">
      <c r="A365" s="185"/>
      <c r="B365" s="187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</row>
    <row r="366">
      <c r="A366" s="185"/>
      <c r="B366" s="187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</row>
    <row r="367">
      <c r="A367" s="185"/>
      <c r="B367" s="187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</row>
    <row r="368">
      <c r="A368" s="185"/>
      <c r="B368" s="187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</row>
    <row r="369">
      <c r="A369" s="185"/>
      <c r="B369" s="187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</row>
    <row r="370">
      <c r="A370" s="185"/>
      <c r="B370" s="187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</row>
    <row r="371">
      <c r="A371" s="185"/>
      <c r="B371" s="187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</row>
    <row r="372">
      <c r="A372" s="185"/>
      <c r="B372" s="187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</row>
    <row r="373">
      <c r="A373" s="185"/>
      <c r="B373" s="187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</row>
    <row r="374">
      <c r="A374" s="185"/>
      <c r="B374" s="187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</row>
    <row r="375">
      <c r="A375" s="185"/>
      <c r="B375" s="187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</row>
    <row r="376">
      <c r="A376" s="185"/>
      <c r="B376" s="187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</row>
    <row r="377">
      <c r="A377" s="185"/>
      <c r="B377" s="187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</row>
    <row r="378">
      <c r="A378" s="185"/>
      <c r="B378" s="187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</row>
    <row r="379">
      <c r="A379" s="185"/>
      <c r="B379" s="187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</row>
    <row r="380">
      <c r="A380" s="185"/>
      <c r="B380" s="187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</row>
    <row r="381">
      <c r="A381" s="185"/>
      <c r="B381" s="187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</row>
    <row r="382">
      <c r="A382" s="185"/>
      <c r="B382" s="187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</row>
    <row r="383">
      <c r="A383" s="185"/>
      <c r="B383" s="187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</row>
    <row r="384">
      <c r="A384" s="185"/>
      <c r="B384" s="187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</row>
    <row r="385">
      <c r="A385" s="185"/>
      <c r="B385" s="187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</row>
    <row r="386">
      <c r="A386" s="185"/>
      <c r="B386" s="187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</row>
    <row r="387">
      <c r="A387" s="185"/>
      <c r="B387" s="187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</row>
    <row r="388">
      <c r="A388" s="185"/>
      <c r="B388" s="187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</row>
    <row r="389">
      <c r="A389" s="185"/>
      <c r="B389" s="187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</row>
    <row r="390">
      <c r="A390" s="185"/>
      <c r="B390" s="187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</row>
    <row r="391">
      <c r="A391" s="185"/>
      <c r="B391" s="187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</row>
    <row r="392">
      <c r="A392" s="185"/>
      <c r="B392" s="187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</row>
    <row r="393">
      <c r="A393" s="185"/>
      <c r="B393" s="187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</row>
    <row r="394">
      <c r="A394" s="185"/>
      <c r="B394" s="187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</row>
    <row r="395">
      <c r="A395" s="185"/>
      <c r="B395" s="187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</row>
    <row r="396">
      <c r="A396" s="185"/>
      <c r="B396" s="187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</row>
    <row r="397">
      <c r="A397" s="185"/>
      <c r="B397" s="187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</row>
    <row r="398">
      <c r="A398" s="185"/>
      <c r="B398" s="187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</row>
    <row r="399">
      <c r="A399" s="185"/>
      <c r="B399" s="187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</row>
    <row r="400">
      <c r="A400" s="185"/>
      <c r="B400" s="187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</row>
    <row r="401">
      <c r="A401" s="185"/>
      <c r="B401" s="187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</row>
    <row r="402">
      <c r="A402" s="185"/>
      <c r="B402" s="187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</row>
    <row r="403">
      <c r="A403" s="185"/>
      <c r="B403" s="187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</row>
    <row r="404">
      <c r="A404" s="185"/>
      <c r="B404" s="187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</row>
    <row r="405">
      <c r="A405" s="185"/>
      <c r="B405" s="187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</row>
    <row r="406">
      <c r="A406" s="185"/>
      <c r="B406" s="187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</row>
    <row r="407">
      <c r="A407" s="185"/>
      <c r="B407" s="187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</row>
    <row r="408">
      <c r="A408" s="185"/>
      <c r="B408" s="187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</row>
    <row r="409">
      <c r="A409" s="185"/>
      <c r="B409" s="187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</row>
    <row r="410">
      <c r="A410" s="185"/>
      <c r="B410" s="187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</row>
    <row r="411">
      <c r="A411" s="185"/>
      <c r="B411" s="187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</row>
    <row r="412">
      <c r="A412" s="185"/>
      <c r="B412" s="187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</row>
    <row r="413">
      <c r="A413" s="185"/>
      <c r="B413" s="187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</row>
    <row r="414">
      <c r="A414" s="185"/>
      <c r="B414" s="187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</row>
    <row r="415">
      <c r="A415" s="185"/>
      <c r="B415" s="187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</row>
    <row r="416">
      <c r="A416" s="185"/>
      <c r="B416" s="187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</row>
    <row r="417">
      <c r="A417" s="185"/>
      <c r="B417" s="187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</row>
    <row r="418">
      <c r="A418" s="185"/>
      <c r="B418" s="187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</row>
    <row r="419">
      <c r="A419" s="185"/>
      <c r="B419" s="187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</row>
    <row r="420">
      <c r="A420" s="185"/>
      <c r="B420" s="187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</row>
    <row r="421">
      <c r="A421" s="185"/>
      <c r="B421" s="187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</row>
    <row r="422">
      <c r="A422" s="185"/>
      <c r="B422" s="187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</row>
    <row r="423">
      <c r="A423" s="185"/>
      <c r="B423" s="187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</row>
    <row r="424">
      <c r="A424" s="185"/>
      <c r="B424" s="187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</row>
    <row r="425">
      <c r="A425" s="185"/>
      <c r="B425" s="187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</row>
    <row r="426">
      <c r="A426" s="185"/>
      <c r="B426" s="187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</row>
    <row r="427">
      <c r="A427" s="185"/>
      <c r="B427" s="187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</row>
    <row r="428">
      <c r="A428" s="185"/>
      <c r="B428" s="187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</row>
    <row r="429">
      <c r="A429" s="185"/>
      <c r="B429" s="187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</row>
    <row r="430">
      <c r="A430" s="185"/>
      <c r="B430" s="187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</row>
    <row r="431">
      <c r="A431" s="185"/>
      <c r="B431" s="187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</row>
    <row r="432">
      <c r="A432" s="185"/>
      <c r="B432" s="187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</row>
    <row r="433">
      <c r="A433" s="185"/>
      <c r="B433" s="187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</row>
    <row r="434">
      <c r="A434" s="185"/>
      <c r="B434" s="187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</row>
    <row r="435">
      <c r="A435" s="185"/>
      <c r="B435" s="187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</row>
    <row r="436">
      <c r="A436" s="185"/>
      <c r="B436" s="187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</row>
    <row r="437">
      <c r="A437" s="185"/>
      <c r="B437" s="187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</row>
    <row r="438">
      <c r="A438" s="185"/>
      <c r="B438" s="187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</row>
    <row r="439">
      <c r="A439" s="185"/>
      <c r="B439" s="187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</row>
    <row r="440">
      <c r="A440" s="185"/>
      <c r="B440" s="187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</row>
    <row r="441">
      <c r="A441" s="185"/>
      <c r="B441" s="187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</row>
    <row r="442">
      <c r="A442" s="185"/>
      <c r="B442" s="187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</row>
    <row r="443">
      <c r="A443" s="185"/>
      <c r="B443" s="187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</row>
    <row r="444">
      <c r="A444" s="185"/>
      <c r="B444" s="187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</row>
    <row r="445">
      <c r="A445" s="185"/>
      <c r="B445" s="187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</row>
    <row r="446">
      <c r="A446" s="185"/>
      <c r="B446" s="187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</row>
    <row r="447">
      <c r="A447" s="185"/>
      <c r="B447" s="187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</row>
    <row r="448">
      <c r="A448" s="185"/>
      <c r="B448" s="187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</row>
    <row r="449">
      <c r="A449" s="185"/>
      <c r="B449" s="187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</row>
    <row r="450">
      <c r="A450" s="185"/>
      <c r="B450" s="187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</row>
    <row r="451">
      <c r="A451" s="185"/>
      <c r="B451" s="187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</row>
    <row r="452">
      <c r="A452" s="185"/>
      <c r="B452" s="187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</row>
    <row r="453">
      <c r="A453" s="185"/>
      <c r="B453" s="187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</row>
    <row r="454">
      <c r="A454" s="185"/>
      <c r="B454" s="187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</row>
    <row r="455">
      <c r="A455" s="185"/>
      <c r="B455" s="187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</row>
    <row r="456">
      <c r="A456" s="185"/>
      <c r="B456" s="187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</row>
    <row r="457">
      <c r="A457" s="185"/>
      <c r="B457" s="187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</row>
    <row r="458">
      <c r="A458" s="185"/>
      <c r="B458" s="187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</row>
    <row r="459">
      <c r="A459" s="185"/>
      <c r="B459" s="187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</row>
    <row r="460">
      <c r="A460" s="185"/>
      <c r="B460" s="187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</row>
    <row r="461">
      <c r="A461" s="185"/>
      <c r="B461" s="187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</row>
    <row r="462">
      <c r="A462" s="185"/>
      <c r="B462" s="187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</row>
    <row r="463">
      <c r="A463" s="185"/>
      <c r="B463" s="187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</row>
    <row r="464">
      <c r="A464" s="185"/>
      <c r="B464" s="187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</row>
    <row r="465">
      <c r="A465" s="185"/>
      <c r="B465" s="187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</row>
    <row r="466">
      <c r="A466" s="185"/>
      <c r="B466" s="187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</row>
    <row r="467">
      <c r="A467" s="185"/>
      <c r="B467" s="187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</row>
    <row r="468">
      <c r="A468" s="185"/>
      <c r="B468" s="187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</row>
    <row r="469">
      <c r="A469" s="185"/>
      <c r="B469" s="187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</row>
    <row r="470">
      <c r="A470" s="185"/>
      <c r="B470" s="187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</row>
    <row r="471">
      <c r="A471" s="185"/>
      <c r="B471" s="187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</row>
    <row r="472">
      <c r="A472" s="185"/>
      <c r="B472" s="187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</row>
    <row r="473">
      <c r="A473" s="185"/>
      <c r="B473" s="187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</row>
    <row r="474">
      <c r="A474" s="185"/>
      <c r="B474" s="187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</row>
    <row r="475">
      <c r="A475" s="185"/>
      <c r="B475" s="187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</row>
    <row r="476">
      <c r="A476" s="185"/>
      <c r="B476" s="187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</row>
    <row r="477">
      <c r="A477" s="185"/>
      <c r="B477" s="187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</row>
    <row r="478">
      <c r="A478" s="185"/>
      <c r="B478" s="187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</row>
    <row r="479">
      <c r="A479" s="185"/>
      <c r="B479" s="187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</row>
    <row r="480">
      <c r="A480" s="185"/>
      <c r="B480" s="187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</row>
    <row r="481">
      <c r="A481" s="185"/>
      <c r="B481" s="187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</row>
    <row r="482">
      <c r="A482" s="185"/>
      <c r="B482" s="187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</row>
    <row r="483">
      <c r="A483" s="185"/>
      <c r="B483" s="187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</row>
    <row r="484">
      <c r="A484" s="185"/>
      <c r="B484" s="187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</row>
    <row r="485">
      <c r="A485" s="185"/>
      <c r="B485" s="187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</row>
    <row r="486">
      <c r="A486" s="185"/>
      <c r="B486" s="187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</row>
    <row r="487">
      <c r="A487" s="185"/>
      <c r="B487" s="187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</row>
    <row r="488">
      <c r="A488" s="185"/>
      <c r="B488" s="187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</row>
    <row r="489">
      <c r="A489" s="185"/>
      <c r="B489" s="187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</row>
    <row r="490">
      <c r="A490" s="185"/>
      <c r="B490" s="187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</row>
    <row r="491">
      <c r="A491" s="185"/>
      <c r="B491" s="187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</row>
    <row r="492">
      <c r="A492" s="185"/>
      <c r="B492" s="187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</row>
    <row r="493">
      <c r="A493" s="185"/>
      <c r="B493" s="187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</row>
    <row r="494">
      <c r="A494" s="185"/>
      <c r="B494" s="187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</row>
    <row r="495">
      <c r="A495" s="185"/>
      <c r="B495" s="187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</row>
    <row r="496">
      <c r="A496" s="185"/>
      <c r="B496" s="187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</row>
    <row r="497">
      <c r="A497" s="185"/>
      <c r="B497" s="187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</row>
    <row r="498">
      <c r="A498" s="185"/>
      <c r="B498" s="187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</row>
    <row r="499">
      <c r="A499" s="185"/>
      <c r="B499" s="187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</row>
    <row r="500">
      <c r="A500" s="185"/>
      <c r="B500" s="187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</row>
    <row r="501">
      <c r="A501" s="185"/>
      <c r="B501" s="187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</row>
    <row r="502">
      <c r="A502" s="185"/>
      <c r="B502" s="187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</row>
    <row r="503">
      <c r="A503" s="185"/>
      <c r="B503" s="187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</row>
    <row r="504">
      <c r="A504" s="185"/>
      <c r="B504" s="187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</row>
    <row r="505">
      <c r="A505" s="185"/>
      <c r="B505" s="187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</row>
    <row r="506">
      <c r="A506" s="185"/>
      <c r="B506" s="187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</row>
    <row r="507">
      <c r="A507" s="185"/>
      <c r="B507" s="187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</row>
    <row r="508">
      <c r="A508" s="185"/>
      <c r="B508" s="187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</row>
    <row r="509">
      <c r="A509" s="185"/>
      <c r="B509" s="187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</row>
    <row r="510">
      <c r="A510" s="185"/>
      <c r="B510" s="187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</row>
    <row r="511">
      <c r="A511" s="185"/>
      <c r="B511" s="187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</row>
    <row r="512">
      <c r="A512" s="185"/>
      <c r="B512" s="187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</row>
    <row r="513">
      <c r="A513" s="185"/>
      <c r="B513" s="187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</row>
    <row r="514">
      <c r="A514" s="185"/>
      <c r="B514" s="187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</row>
    <row r="515">
      <c r="A515" s="185"/>
      <c r="B515" s="187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</row>
    <row r="516">
      <c r="A516" s="185"/>
      <c r="B516" s="187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</row>
    <row r="517">
      <c r="A517" s="185"/>
      <c r="B517" s="187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</row>
    <row r="518">
      <c r="A518" s="185"/>
      <c r="B518" s="187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</row>
    <row r="519">
      <c r="A519" s="185"/>
      <c r="B519" s="187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</row>
    <row r="520">
      <c r="A520" s="185"/>
      <c r="B520" s="187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</row>
    <row r="521">
      <c r="A521" s="185"/>
      <c r="B521" s="187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</row>
    <row r="522">
      <c r="A522" s="185"/>
      <c r="B522" s="187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</row>
    <row r="523">
      <c r="A523" s="185"/>
      <c r="B523" s="187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</row>
    <row r="524">
      <c r="A524" s="185"/>
      <c r="B524" s="187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</row>
    <row r="525">
      <c r="A525" s="185"/>
      <c r="B525" s="187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</row>
    <row r="526">
      <c r="A526" s="185"/>
      <c r="B526" s="187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</row>
    <row r="527">
      <c r="A527" s="185"/>
      <c r="B527" s="187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</row>
    <row r="528">
      <c r="A528" s="185"/>
      <c r="B528" s="187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</row>
    <row r="529">
      <c r="A529" s="185"/>
      <c r="B529" s="187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</row>
    <row r="530">
      <c r="A530" s="185"/>
      <c r="B530" s="187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</row>
    <row r="531">
      <c r="A531" s="185"/>
      <c r="B531" s="187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</row>
    <row r="532">
      <c r="A532" s="185"/>
      <c r="B532" s="187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</row>
    <row r="533">
      <c r="A533" s="185"/>
      <c r="B533" s="187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</row>
    <row r="534">
      <c r="A534" s="185"/>
      <c r="B534" s="187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</row>
    <row r="535">
      <c r="A535" s="185"/>
      <c r="B535" s="187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</row>
    <row r="536">
      <c r="A536" s="185"/>
      <c r="B536" s="187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</row>
    <row r="537">
      <c r="A537" s="185"/>
      <c r="B537" s="187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</row>
    <row r="538">
      <c r="A538" s="185"/>
      <c r="B538" s="187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</row>
    <row r="539">
      <c r="A539" s="185"/>
      <c r="B539" s="187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</row>
    <row r="540">
      <c r="A540" s="185"/>
      <c r="B540" s="187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</row>
    <row r="541">
      <c r="A541" s="185"/>
      <c r="B541" s="187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</row>
    <row r="542">
      <c r="A542" s="185"/>
      <c r="B542" s="187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</row>
    <row r="543">
      <c r="A543" s="185"/>
      <c r="B543" s="187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</row>
    <row r="544">
      <c r="A544" s="185"/>
      <c r="B544" s="187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</row>
    <row r="545">
      <c r="A545" s="185"/>
      <c r="B545" s="187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</row>
    <row r="546">
      <c r="A546" s="185"/>
      <c r="B546" s="187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</row>
    <row r="547">
      <c r="A547" s="185"/>
      <c r="B547" s="187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</row>
    <row r="548">
      <c r="A548" s="185"/>
      <c r="B548" s="187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</row>
    <row r="549">
      <c r="A549" s="185"/>
      <c r="B549" s="187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</row>
    <row r="550">
      <c r="A550" s="185"/>
      <c r="B550" s="187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</row>
    <row r="551">
      <c r="A551" s="185"/>
      <c r="B551" s="187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</row>
    <row r="552">
      <c r="A552" s="185"/>
      <c r="B552" s="187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</row>
    <row r="553">
      <c r="A553" s="185"/>
      <c r="B553" s="187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</row>
    <row r="554">
      <c r="A554" s="185"/>
      <c r="B554" s="187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</row>
    <row r="555">
      <c r="A555" s="185"/>
      <c r="B555" s="187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</row>
    <row r="556">
      <c r="A556" s="185"/>
      <c r="B556" s="187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</row>
    <row r="557">
      <c r="A557" s="185"/>
      <c r="B557" s="187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</row>
    <row r="558">
      <c r="A558" s="185"/>
      <c r="B558" s="187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</row>
    <row r="559">
      <c r="A559" s="185"/>
      <c r="B559" s="187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</row>
    <row r="560">
      <c r="A560" s="185"/>
      <c r="B560" s="187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</row>
    <row r="561">
      <c r="A561" s="185"/>
      <c r="B561" s="187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</row>
    <row r="562">
      <c r="A562" s="185"/>
      <c r="B562" s="187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</row>
    <row r="563">
      <c r="A563" s="185"/>
      <c r="B563" s="187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</row>
    <row r="564">
      <c r="A564" s="185"/>
      <c r="B564" s="187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</row>
    <row r="565">
      <c r="A565" s="185"/>
      <c r="B565" s="187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</row>
    <row r="566">
      <c r="A566" s="185"/>
      <c r="B566" s="187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</row>
    <row r="567">
      <c r="A567" s="185"/>
      <c r="B567" s="187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</row>
    <row r="568">
      <c r="A568" s="185"/>
      <c r="B568" s="187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</row>
    <row r="569">
      <c r="A569" s="185"/>
      <c r="B569" s="187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</row>
    <row r="570">
      <c r="A570" s="185"/>
      <c r="B570" s="187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</row>
    <row r="571">
      <c r="A571" s="185"/>
      <c r="B571" s="187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</row>
    <row r="572">
      <c r="A572" s="185"/>
      <c r="B572" s="187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</row>
    <row r="573">
      <c r="A573" s="185"/>
      <c r="B573" s="187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</row>
    <row r="574">
      <c r="A574" s="185"/>
      <c r="B574" s="187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</row>
    <row r="575">
      <c r="A575" s="185"/>
      <c r="B575" s="187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</row>
    <row r="576">
      <c r="A576" s="185"/>
      <c r="B576" s="187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</row>
    <row r="577">
      <c r="A577" s="185"/>
      <c r="B577" s="187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</row>
    <row r="578">
      <c r="A578" s="185"/>
      <c r="B578" s="187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</row>
    <row r="579">
      <c r="A579" s="185"/>
      <c r="B579" s="187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</row>
    <row r="580">
      <c r="A580" s="185"/>
      <c r="B580" s="187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</row>
    <row r="581">
      <c r="A581" s="185"/>
      <c r="B581" s="187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</row>
    <row r="582">
      <c r="A582" s="185"/>
      <c r="B582" s="187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</row>
    <row r="583">
      <c r="A583" s="185"/>
      <c r="B583" s="187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</row>
    <row r="584">
      <c r="A584" s="185"/>
      <c r="B584" s="187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</row>
    <row r="585">
      <c r="A585" s="185"/>
      <c r="B585" s="187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</row>
    <row r="586">
      <c r="A586" s="185"/>
      <c r="B586" s="187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</row>
    <row r="587">
      <c r="A587" s="185"/>
      <c r="B587" s="187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</row>
    <row r="588">
      <c r="A588" s="185"/>
      <c r="B588" s="187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</row>
    <row r="589">
      <c r="A589" s="185"/>
      <c r="B589" s="187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</row>
    <row r="590">
      <c r="A590" s="185"/>
      <c r="B590" s="187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</row>
    <row r="591">
      <c r="A591" s="185"/>
      <c r="B591" s="187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</row>
    <row r="592">
      <c r="A592" s="185"/>
      <c r="B592" s="187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</row>
    <row r="593">
      <c r="A593" s="185"/>
      <c r="B593" s="187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</row>
    <row r="594">
      <c r="A594" s="185"/>
      <c r="B594" s="187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</row>
    <row r="595">
      <c r="A595" s="185"/>
      <c r="B595" s="187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</row>
    <row r="596">
      <c r="A596" s="185"/>
      <c r="B596" s="187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</row>
    <row r="597">
      <c r="A597" s="185"/>
      <c r="B597" s="187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</row>
    <row r="598">
      <c r="A598" s="185"/>
      <c r="B598" s="187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</row>
    <row r="599">
      <c r="A599" s="185"/>
      <c r="B599" s="187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</row>
    <row r="600">
      <c r="A600" s="185"/>
      <c r="B600" s="187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</row>
    <row r="601">
      <c r="A601" s="185"/>
      <c r="B601" s="187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</row>
    <row r="602">
      <c r="A602" s="185"/>
      <c r="B602" s="187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</row>
    <row r="603">
      <c r="A603" s="185"/>
      <c r="B603" s="187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</row>
    <row r="604">
      <c r="A604" s="185"/>
      <c r="B604" s="187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</row>
    <row r="605">
      <c r="A605" s="185"/>
      <c r="B605" s="187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</row>
    <row r="606">
      <c r="A606" s="185"/>
      <c r="B606" s="187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</row>
    <row r="607">
      <c r="A607" s="185"/>
      <c r="B607" s="187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</row>
    <row r="608">
      <c r="A608" s="185"/>
      <c r="B608" s="187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</row>
    <row r="609">
      <c r="A609" s="185"/>
      <c r="B609" s="187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</row>
    <row r="610">
      <c r="A610" s="185"/>
      <c r="B610" s="187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</row>
    <row r="611">
      <c r="A611" s="185"/>
      <c r="B611" s="187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</row>
    <row r="612">
      <c r="A612" s="185"/>
      <c r="B612" s="187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</row>
    <row r="613">
      <c r="A613" s="185"/>
      <c r="B613" s="187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</row>
    <row r="614">
      <c r="A614" s="185"/>
      <c r="B614" s="187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</row>
    <row r="615">
      <c r="A615" s="185"/>
      <c r="B615" s="187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</row>
    <row r="616">
      <c r="A616" s="185"/>
      <c r="B616" s="187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</row>
    <row r="617">
      <c r="A617" s="185"/>
      <c r="B617" s="187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</row>
    <row r="618">
      <c r="A618" s="185"/>
      <c r="B618" s="187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</row>
    <row r="619">
      <c r="A619" s="185"/>
      <c r="B619" s="187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</row>
    <row r="620">
      <c r="A620" s="185"/>
      <c r="B620" s="187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</row>
    <row r="621">
      <c r="A621" s="185"/>
      <c r="B621" s="187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</row>
    <row r="622">
      <c r="A622" s="185"/>
      <c r="B622" s="187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</row>
    <row r="623">
      <c r="A623" s="185"/>
      <c r="B623" s="187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</row>
    <row r="624">
      <c r="A624" s="185"/>
      <c r="B624" s="187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</row>
    <row r="625">
      <c r="A625" s="185"/>
      <c r="B625" s="187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</row>
    <row r="626">
      <c r="A626" s="185"/>
      <c r="B626" s="187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</row>
    <row r="627">
      <c r="A627" s="185"/>
      <c r="B627" s="187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</row>
    <row r="628">
      <c r="A628" s="185"/>
      <c r="B628" s="187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</row>
    <row r="629">
      <c r="A629" s="185"/>
      <c r="B629" s="187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</row>
    <row r="630">
      <c r="A630" s="185"/>
      <c r="B630" s="187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</row>
    <row r="631">
      <c r="A631" s="185"/>
      <c r="B631" s="187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</row>
    <row r="632">
      <c r="A632" s="185"/>
      <c r="B632" s="187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</row>
    <row r="633">
      <c r="A633" s="185"/>
      <c r="B633" s="187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</row>
    <row r="634">
      <c r="A634" s="185"/>
      <c r="B634" s="187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</row>
    <row r="635">
      <c r="A635" s="185"/>
      <c r="B635" s="187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</row>
    <row r="636">
      <c r="A636" s="185"/>
      <c r="B636" s="187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</row>
    <row r="637">
      <c r="A637" s="185"/>
      <c r="B637" s="187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</row>
    <row r="638">
      <c r="A638" s="185"/>
      <c r="B638" s="187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</row>
    <row r="639">
      <c r="A639" s="185"/>
      <c r="B639" s="187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</row>
    <row r="640">
      <c r="A640" s="185"/>
      <c r="B640" s="187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</row>
    <row r="641">
      <c r="A641" s="185"/>
      <c r="B641" s="187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</row>
    <row r="642">
      <c r="A642" s="185"/>
      <c r="B642" s="187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</row>
    <row r="643">
      <c r="A643" s="185"/>
      <c r="B643" s="187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</row>
    <row r="644">
      <c r="A644" s="185"/>
      <c r="B644" s="187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</row>
    <row r="645">
      <c r="A645" s="185"/>
      <c r="B645" s="187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</row>
    <row r="646">
      <c r="A646" s="185"/>
      <c r="B646" s="187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</row>
    <row r="647">
      <c r="A647" s="185"/>
      <c r="B647" s="187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</row>
    <row r="648">
      <c r="A648" s="185"/>
      <c r="B648" s="187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</row>
    <row r="649">
      <c r="A649" s="185"/>
      <c r="B649" s="187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</row>
    <row r="650">
      <c r="A650" s="185"/>
      <c r="B650" s="187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</row>
    <row r="651">
      <c r="A651" s="185"/>
      <c r="B651" s="187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</row>
    <row r="652">
      <c r="A652" s="185"/>
      <c r="B652" s="187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</row>
    <row r="653">
      <c r="A653" s="185"/>
      <c r="B653" s="187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</row>
    <row r="654">
      <c r="A654" s="185"/>
      <c r="B654" s="187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</row>
    <row r="655">
      <c r="A655" s="185"/>
      <c r="B655" s="187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</row>
    <row r="656">
      <c r="A656" s="185"/>
      <c r="B656" s="187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</row>
    <row r="657">
      <c r="A657" s="185"/>
      <c r="B657" s="187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</row>
    <row r="658">
      <c r="A658" s="185"/>
      <c r="B658" s="187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</row>
    <row r="659">
      <c r="A659" s="185"/>
      <c r="B659" s="187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</row>
    <row r="660">
      <c r="A660" s="185"/>
      <c r="B660" s="187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</row>
    <row r="661">
      <c r="A661" s="185"/>
      <c r="B661" s="187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</row>
    <row r="662">
      <c r="A662" s="185"/>
      <c r="B662" s="187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</row>
    <row r="663">
      <c r="A663" s="185"/>
      <c r="B663" s="187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</row>
    <row r="664">
      <c r="A664" s="185"/>
      <c r="B664" s="187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</row>
    <row r="665">
      <c r="A665" s="185"/>
      <c r="B665" s="187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</row>
    <row r="666">
      <c r="A666" s="185"/>
      <c r="B666" s="187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</row>
    <row r="667">
      <c r="A667" s="185"/>
      <c r="B667" s="187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</row>
    <row r="668">
      <c r="A668" s="185"/>
      <c r="B668" s="187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</row>
    <row r="669">
      <c r="A669" s="185"/>
      <c r="B669" s="187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</row>
    <row r="670">
      <c r="A670" s="185"/>
      <c r="B670" s="187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</row>
    <row r="671">
      <c r="A671" s="185"/>
      <c r="B671" s="187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</row>
    <row r="672">
      <c r="A672" s="185"/>
      <c r="B672" s="187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</row>
    <row r="673">
      <c r="A673" s="185"/>
      <c r="B673" s="187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</row>
    <row r="674">
      <c r="A674" s="185"/>
      <c r="B674" s="187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</row>
    <row r="675">
      <c r="A675" s="185"/>
      <c r="B675" s="187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</row>
    <row r="676">
      <c r="A676" s="185"/>
      <c r="B676" s="187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</row>
    <row r="677">
      <c r="A677" s="185"/>
      <c r="B677" s="187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</row>
    <row r="678">
      <c r="A678" s="185"/>
      <c r="B678" s="187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</row>
    <row r="679">
      <c r="A679" s="185"/>
      <c r="B679" s="187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</row>
    <row r="680">
      <c r="A680" s="185"/>
      <c r="B680" s="187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</row>
    <row r="681">
      <c r="A681" s="185"/>
      <c r="B681" s="187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</row>
    <row r="682">
      <c r="A682" s="185"/>
      <c r="B682" s="187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</row>
    <row r="683">
      <c r="A683" s="185"/>
      <c r="B683" s="187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</row>
    <row r="684">
      <c r="A684" s="185"/>
      <c r="B684" s="187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</row>
    <row r="685">
      <c r="A685" s="185"/>
      <c r="B685" s="187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</row>
    <row r="686">
      <c r="A686" s="185"/>
      <c r="B686" s="187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</row>
    <row r="687">
      <c r="A687" s="185"/>
      <c r="B687" s="187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</row>
    <row r="688">
      <c r="A688" s="185"/>
      <c r="B688" s="187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</row>
    <row r="689">
      <c r="A689" s="185"/>
      <c r="B689" s="187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</row>
    <row r="690">
      <c r="A690" s="185"/>
      <c r="B690" s="187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</row>
    <row r="691">
      <c r="A691" s="185"/>
      <c r="B691" s="187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</row>
    <row r="692">
      <c r="A692" s="185"/>
      <c r="B692" s="187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</row>
    <row r="693">
      <c r="A693" s="185"/>
      <c r="B693" s="187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</row>
    <row r="694">
      <c r="A694" s="185"/>
      <c r="B694" s="187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</row>
    <row r="695">
      <c r="A695" s="185"/>
      <c r="B695" s="187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</row>
    <row r="696">
      <c r="A696" s="185"/>
      <c r="B696" s="187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</row>
    <row r="697">
      <c r="A697" s="185"/>
      <c r="B697" s="187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</row>
    <row r="698">
      <c r="A698" s="185"/>
      <c r="B698" s="187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</row>
    <row r="699">
      <c r="A699" s="185"/>
      <c r="B699" s="187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</row>
    <row r="700">
      <c r="A700" s="185"/>
      <c r="B700" s="187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</row>
    <row r="701">
      <c r="A701" s="185"/>
      <c r="B701" s="187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</row>
    <row r="702">
      <c r="A702" s="185"/>
      <c r="B702" s="187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</row>
    <row r="703">
      <c r="A703" s="185"/>
      <c r="B703" s="187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</row>
    <row r="704">
      <c r="A704" s="185"/>
      <c r="B704" s="187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</row>
    <row r="705">
      <c r="A705" s="185"/>
      <c r="B705" s="187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</row>
    <row r="706">
      <c r="A706" s="185"/>
      <c r="B706" s="187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</row>
    <row r="707">
      <c r="A707" s="185"/>
      <c r="B707" s="187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</row>
    <row r="708">
      <c r="A708" s="185"/>
      <c r="B708" s="187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</row>
    <row r="709">
      <c r="A709" s="185"/>
      <c r="B709" s="187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</row>
    <row r="710">
      <c r="A710" s="185"/>
      <c r="B710" s="187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</row>
    <row r="711">
      <c r="A711" s="185"/>
      <c r="B711" s="187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</row>
    <row r="712">
      <c r="A712" s="185"/>
      <c r="B712" s="187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</row>
    <row r="713">
      <c r="A713" s="185"/>
      <c r="B713" s="187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</row>
    <row r="714">
      <c r="A714" s="185"/>
      <c r="B714" s="187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</row>
    <row r="715">
      <c r="A715" s="185"/>
      <c r="B715" s="187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</row>
    <row r="716">
      <c r="A716" s="185"/>
      <c r="B716" s="187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</row>
    <row r="717">
      <c r="A717" s="185"/>
      <c r="B717" s="187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</row>
    <row r="718">
      <c r="A718" s="185"/>
      <c r="B718" s="187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</row>
    <row r="719">
      <c r="A719" s="185"/>
      <c r="B719" s="187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</row>
    <row r="720">
      <c r="A720" s="185"/>
      <c r="B720" s="187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</row>
    <row r="721">
      <c r="A721" s="185"/>
      <c r="B721" s="187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</row>
    <row r="722">
      <c r="A722" s="185"/>
      <c r="B722" s="187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</row>
    <row r="723">
      <c r="A723" s="185"/>
      <c r="B723" s="187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</row>
    <row r="724">
      <c r="A724" s="185"/>
      <c r="B724" s="187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</row>
    <row r="725">
      <c r="A725" s="185"/>
      <c r="B725" s="187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</row>
    <row r="726">
      <c r="A726" s="185"/>
      <c r="B726" s="187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</row>
    <row r="727">
      <c r="A727" s="185"/>
      <c r="B727" s="187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</row>
    <row r="728">
      <c r="A728" s="185"/>
      <c r="B728" s="187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</row>
    <row r="729">
      <c r="A729" s="185"/>
      <c r="B729" s="187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</row>
    <row r="730">
      <c r="A730" s="185"/>
      <c r="B730" s="187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</row>
    <row r="731">
      <c r="A731" s="185"/>
      <c r="B731" s="187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</row>
    <row r="732">
      <c r="A732" s="185"/>
      <c r="B732" s="187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</row>
    <row r="733">
      <c r="A733" s="185"/>
      <c r="B733" s="187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</row>
    <row r="734">
      <c r="A734" s="185"/>
      <c r="B734" s="187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</row>
    <row r="735">
      <c r="A735" s="185"/>
      <c r="B735" s="187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</row>
    <row r="736">
      <c r="A736" s="185"/>
      <c r="B736" s="187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</row>
    <row r="737">
      <c r="A737" s="185"/>
      <c r="B737" s="187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</row>
    <row r="738">
      <c r="A738" s="185"/>
      <c r="B738" s="187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</row>
    <row r="739">
      <c r="A739" s="185"/>
      <c r="B739" s="187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</row>
    <row r="740">
      <c r="A740" s="185"/>
      <c r="B740" s="187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</row>
    <row r="741">
      <c r="A741" s="185"/>
      <c r="B741" s="187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</row>
    <row r="742">
      <c r="A742" s="185"/>
      <c r="B742" s="187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</row>
    <row r="743">
      <c r="A743" s="185"/>
      <c r="B743" s="187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</row>
    <row r="744">
      <c r="A744" s="185"/>
      <c r="B744" s="187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</row>
    <row r="745">
      <c r="A745" s="185"/>
      <c r="B745" s="187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</row>
    <row r="746">
      <c r="A746" s="185"/>
      <c r="B746" s="187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</row>
    <row r="747">
      <c r="A747" s="185"/>
      <c r="B747" s="187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</row>
    <row r="748">
      <c r="A748" s="185"/>
      <c r="B748" s="187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</row>
    <row r="749">
      <c r="A749" s="185"/>
      <c r="B749" s="187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</row>
    <row r="750">
      <c r="A750" s="185"/>
      <c r="B750" s="187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</row>
    <row r="751">
      <c r="A751" s="185"/>
      <c r="B751" s="187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</row>
    <row r="752">
      <c r="A752" s="185"/>
      <c r="B752" s="187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</row>
    <row r="753">
      <c r="A753" s="185"/>
      <c r="B753" s="187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</row>
    <row r="754">
      <c r="A754" s="185"/>
      <c r="B754" s="187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</row>
    <row r="755">
      <c r="A755" s="185"/>
      <c r="B755" s="187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</row>
    <row r="756">
      <c r="A756" s="185"/>
      <c r="B756" s="187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</row>
    <row r="757">
      <c r="A757" s="185"/>
      <c r="B757" s="187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</row>
    <row r="758">
      <c r="A758" s="185"/>
      <c r="B758" s="187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</row>
    <row r="759">
      <c r="A759" s="185"/>
      <c r="B759" s="187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</row>
    <row r="760">
      <c r="A760" s="185"/>
      <c r="B760" s="187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</row>
    <row r="761">
      <c r="A761" s="185"/>
      <c r="B761" s="187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</row>
    <row r="762">
      <c r="A762" s="185"/>
      <c r="B762" s="187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</row>
    <row r="763">
      <c r="A763" s="185"/>
      <c r="B763" s="187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</row>
    <row r="764">
      <c r="A764" s="185"/>
      <c r="B764" s="187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</row>
    <row r="765">
      <c r="A765" s="185"/>
      <c r="B765" s="187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</row>
    <row r="766">
      <c r="A766" s="185"/>
      <c r="B766" s="187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</row>
    <row r="767">
      <c r="A767" s="185"/>
      <c r="B767" s="187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</row>
    <row r="768">
      <c r="A768" s="185"/>
      <c r="B768" s="187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</row>
    <row r="769">
      <c r="A769" s="185"/>
      <c r="B769" s="187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</row>
    <row r="770">
      <c r="A770" s="185"/>
      <c r="B770" s="187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</row>
    <row r="771">
      <c r="A771" s="185"/>
      <c r="B771" s="187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</row>
    <row r="772">
      <c r="A772" s="185"/>
      <c r="B772" s="187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</row>
    <row r="773">
      <c r="A773" s="185"/>
      <c r="B773" s="187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</row>
    <row r="774">
      <c r="A774" s="185"/>
      <c r="B774" s="187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</row>
    <row r="775">
      <c r="A775" s="185"/>
      <c r="B775" s="187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</row>
    <row r="776">
      <c r="A776" s="185"/>
      <c r="B776" s="187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</row>
    <row r="777">
      <c r="A777" s="185"/>
      <c r="B777" s="187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</row>
    <row r="778">
      <c r="A778" s="185"/>
      <c r="B778" s="187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</row>
    <row r="779">
      <c r="A779" s="185"/>
      <c r="B779" s="187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</row>
    <row r="780">
      <c r="A780" s="185"/>
      <c r="B780" s="187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</row>
    <row r="781">
      <c r="A781" s="185"/>
      <c r="B781" s="187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</row>
    <row r="782">
      <c r="A782" s="185"/>
      <c r="B782" s="187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</row>
    <row r="783">
      <c r="A783" s="185"/>
      <c r="B783" s="187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</row>
    <row r="784">
      <c r="A784" s="185"/>
      <c r="B784" s="187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</row>
    <row r="785">
      <c r="A785" s="185"/>
      <c r="B785" s="187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</row>
    <row r="786">
      <c r="A786" s="185"/>
      <c r="B786" s="187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</row>
    <row r="787">
      <c r="A787" s="185"/>
      <c r="B787" s="187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</row>
    <row r="788">
      <c r="A788" s="185"/>
      <c r="B788" s="187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</row>
    <row r="789">
      <c r="A789" s="185"/>
      <c r="B789" s="187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</row>
    <row r="790">
      <c r="A790" s="185"/>
      <c r="B790" s="187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</row>
    <row r="791">
      <c r="A791" s="185"/>
      <c r="B791" s="187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</row>
    <row r="792">
      <c r="A792" s="185"/>
      <c r="B792" s="187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</row>
    <row r="793">
      <c r="A793" s="185"/>
      <c r="B793" s="187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</row>
    <row r="794">
      <c r="A794" s="185"/>
      <c r="B794" s="187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</row>
    <row r="795">
      <c r="A795" s="185"/>
      <c r="B795" s="187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</row>
    <row r="796">
      <c r="A796" s="185"/>
      <c r="B796" s="187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</row>
    <row r="797">
      <c r="A797" s="185"/>
      <c r="B797" s="187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</row>
    <row r="798">
      <c r="A798" s="185"/>
      <c r="B798" s="187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</row>
    <row r="799">
      <c r="A799" s="185"/>
      <c r="B799" s="187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</row>
    <row r="800">
      <c r="A800" s="185"/>
      <c r="B800" s="187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</row>
    <row r="801">
      <c r="A801" s="185"/>
      <c r="B801" s="187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</row>
    <row r="802">
      <c r="A802" s="185"/>
      <c r="B802" s="187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</row>
    <row r="803">
      <c r="A803" s="185"/>
      <c r="B803" s="187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</row>
    <row r="804">
      <c r="A804" s="185"/>
      <c r="B804" s="187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</row>
    <row r="805">
      <c r="A805" s="185"/>
      <c r="B805" s="187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</row>
    <row r="806">
      <c r="A806" s="185"/>
      <c r="B806" s="187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</row>
    <row r="807">
      <c r="A807" s="185"/>
      <c r="B807" s="187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</row>
    <row r="808">
      <c r="A808" s="185"/>
      <c r="B808" s="187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</row>
    <row r="809">
      <c r="A809" s="185"/>
      <c r="B809" s="187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</row>
    <row r="810">
      <c r="A810" s="185"/>
      <c r="B810" s="187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</row>
    <row r="811">
      <c r="A811" s="185"/>
      <c r="B811" s="187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</row>
    <row r="812">
      <c r="A812" s="185"/>
      <c r="B812" s="187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</row>
    <row r="813">
      <c r="A813" s="185"/>
      <c r="B813" s="187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</row>
    <row r="814">
      <c r="A814" s="185"/>
      <c r="B814" s="187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</row>
    <row r="815">
      <c r="A815" s="185"/>
      <c r="B815" s="187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</row>
    <row r="816">
      <c r="A816" s="185"/>
      <c r="B816" s="187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</row>
    <row r="817">
      <c r="A817" s="185"/>
      <c r="B817" s="187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</row>
    <row r="818">
      <c r="A818" s="185"/>
      <c r="B818" s="187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</row>
    <row r="819">
      <c r="A819" s="185"/>
      <c r="B819" s="187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</row>
    <row r="820">
      <c r="A820" s="185"/>
      <c r="B820" s="187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</row>
    <row r="821">
      <c r="A821" s="185"/>
      <c r="B821" s="187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</row>
    <row r="822">
      <c r="A822" s="185"/>
      <c r="B822" s="187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</row>
    <row r="823">
      <c r="A823" s="185"/>
      <c r="B823" s="187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</row>
    <row r="824">
      <c r="A824" s="185"/>
      <c r="B824" s="187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</row>
    <row r="825">
      <c r="A825" s="185"/>
      <c r="B825" s="187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</row>
    <row r="826">
      <c r="A826" s="185"/>
      <c r="B826" s="187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</row>
    <row r="827">
      <c r="A827" s="185"/>
      <c r="B827" s="187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</row>
    <row r="828">
      <c r="A828" s="185"/>
      <c r="B828" s="187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</row>
    <row r="829">
      <c r="A829" s="185"/>
      <c r="B829" s="187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</row>
    <row r="830">
      <c r="A830" s="185"/>
      <c r="B830" s="187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</row>
    <row r="831">
      <c r="A831" s="185"/>
      <c r="B831" s="187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</row>
    <row r="832">
      <c r="A832" s="185"/>
      <c r="B832" s="187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</row>
    <row r="833">
      <c r="A833" s="185"/>
      <c r="B833" s="187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</row>
    <row r="834">
      <c r="A834" s="185"/>
      <c r="B834" s="187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</row>
    <row r="835">
      <c r="A835" s="185"/>
      <c r="B835" s="187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</row>
    <row r="836">
      <c r="A836" s="185"/>
      <c r="B836" s="187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</row>
    <row r="837">
      <c r="A837" s="185"/>
      <c r="B837" s="187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</row>
    <row r="838">
      <c r="A838" s="185"/>
      <c r="B838" s="187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</row>
    <row r="839">
      <c r="A839" s="185"/>
      <c r="B839" s="187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</row>
    <row r="840">
      <c r="A840" s="185"/>
      <c r="B840" s="187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</row>
    <row r="841">
      <c r="A841" s="185"/>
      <c r="B841" s="187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</row>
    <row r="842">
      <c r="A842" s="185"/>
      <c r="B842" s="187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</row>
    <row r="843">
      <c r="A843" s="185"/>
      <c r="B843" s="187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</row>
    <row r="844">
      <c r="A844" s="185"/>
      <c r="B844" s="187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</row>
    <row r="845">
      <c r="A845" s="185"/>
      <c r="B845" s="187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</row>
    <row r="846">
      <c r="A846" s="185"/>
      <c r="B846" s="187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</row>
    <row r="847">
      <c r="A847" s="185"/>
      <c r="B847" s="187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</row>
    <row r="848">
      <c r="A848" s="185"/>
      <c r="B848" s="187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</row>
    <row r="849">
      <c r="A849" s="185"/>
      <c r="B849" s="187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</row>
    <row r="850">
      <c r="A850" s="185"/>
      <c r="B850" s="187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</row>
    <row r="851">
      <c r="A851" s="185"/>
      <c r="B851" s="187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</row>
    <row r="852">
      <c r="A852" s="185"/>
      <c r="B852" s="187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</row>
    <row r="853">
      <c r="A853" s="185"/>
      <c r="B853" s="187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</row>
    <row r="854">
      <c r="A854" s="185"/>
      <c r="B854" s="187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</row>
    <row r="855">
      <c r="A855" s="185"/>
      <c r="B855" s="187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</row>
    <row r="856">
      <c r="A856" s="185"/>
      <c r="B856" s="187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</row>
    <row r="857">
      <c r="A857" s="185"/>
      <c r="B857" s="187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</row>
    <row r="858">
      <c r="A858" s="185"/>
      <c r="B858" s="187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</row>
    <row r="859">
      <c r="A859" s="185"/>
      <c r="B859" s="187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</row>
    <row r="860">
      <c r="A860" s="185"/>
      <c r="B860" s="187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</row>
    <row r="861">
      <c r="A861" s="185"/>
      <c r="B861" s="187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</row>
    <row r="862">
      <c r="A862" s="185"/>
      <c r="B862" s="187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</row>
    <row r="863">
      <c r="A863" s="185"/>
      <c r="B863" s="187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</row>
    <row r="864">
      <c r="A864" s="185"/>
      <c r="B864" s="187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</row>
    <row r="865">
      <c r="A865" s="185"/>
      <c r="B865" s="187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</row>
    <row r="866">
      <c r="A866" s="185"/>
      <c r="B866" s="187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</row>
    <row r="867">
      <c r="A867" s="185"/>
      <c r="B867" s="187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</row>
    <row r="868">
      <c r="A868" s="185"/>
      <c r="B868" s="187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</row>
    <row r="869">
      <c r="A869" s="185"/>
      <c r="B869" s="187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</row>
    <row r="870">
      <c r="A870" s="185"/>
      <c r="B870" s="187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</row>
    <row r="871">
      <c r="A871" s="185"/>
      <c r="B871" s="187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</row>
    <row r="872">
      <c r="A872" s="185"/>
      <c r="B872" s="187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</row>
    <row r="873">
      <c r="A873" s="185"/>
      <c r="B873" s="187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</row>
    <row r="874">
      <c r="A874" s="185"/>
      <c r="B874" s="187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</row>
    <row r="875">
      <c r="A875" s="185"/>
      <c r="B875" s="187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</row>
    <row r="876">
      <c r="A876" s="185"/>
      <c r="B876" s="187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</row>
    <row r="877">
      <c r="A877" s="185"/>
      <c r="B877" s="187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</row>
    <row r="878">
      <c r="A878" s="185"/>
      <c r="B878" s="187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</row>
    <row r="879">
      <c r="A879" s="185"/>
      <c r="B879" s="187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</row>
    <row r="880">
      <c r="A880" s="185"/>
      <c r="B880" s="187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</row>
    <row r="881">
      <c r="A881" s="185"/>
      <c r="B881" s="187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</row>
    <row r="882">
      <c r="A882" s="185"/>
      <c r="B882" s="187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</row>
    <row r="883">
      <c r="A883" s="185"/>
      <c r="B883" s="187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</row>
    <row r="884">
      <c r="A884" s="185"/>
      <c r="B884" s="187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</row>
    <row r="885">
      <c r="A885" s="185"/>
      <c r="B885" s="187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</row>
    <row r="886">
      <c r="A886" s="185"/>
      <c r="B886" s="187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</row>
    <row r="887">
      <c r="A887" s="185"/>
      <c r="B887" s="187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</row>
    <row r="888">
      <c r="A888" s="185"/>
      <c r="B888" s="187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</row>
    <row r="889">
      <c r="A889" s="185"/>
      <c r="B889" s="187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</row>
    <row r="890">
      <c r="A890" s="185"/>
      <c r="B890" s="187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</row>
    <row r="891">
      <c r="A891" s="185"/>
      <c r="B891" s="187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</row>
    <row r="892">
      <c r="A892" s="185"/>
      <c r="B892" s="187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</row>
    <row r="893">
      <c r="A893" s="185"/>
      <c r="B893" s="187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</row>
    <row r="894">
      <c r="A894" s="185"/>
      <c r="B894" s="187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</row>
    <row r="895">
      <c r="A895" s="185"/>
      <c r="B895" s="187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</row>
    <row r="896">
      <c r="A896" s="185"/>
      <c r="B896" s="187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</row>
    <row r="897">
      <c r="A897" s="185"/>
      <c r="B897" s="187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</row>
    <row r="898">
      <c r="A898" s="185"/>
      <c r="B898" s="187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</row>
    <row r="899">
      <c r="A899" s="185"/>
      <c r="B899" s="187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</row>
    <row r="900">
      <c r="A900" s="185"/>
      <c r="B900" s="187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</row>
    <row r="901">
      <c r="A901" s="185"/>
      <c r="B901" s="187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</row>
    <row r="902">
      <c r="A902" s="185"/>
      <c r="B902" s="187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</row>
    <row r="903">
      <c r="A903" s="185"/>
      <c r="B903" s="187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</row>
    <row r="904">
      <c r="A904" s="185"/>
      <c r="B904" s="187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</row>
    <row r="905">
      <c r="A905" s="185"/>
      <c r="B905" s="187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</row>
    <row r="906">
      <c r="A906" s="185"/>
      <c r="B906" s="187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</row>
    <row r="907">
      <c r="A907" s="185"/>
      <c r="B907" s="187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</row>
    <row r="908">
      <c r="A908" s="185"/>
      <c r="B908" s="187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</row>
    <row r="909">
      <c r="A909" s="185"/>
      <c r="B909" s="187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</row>
    <row r="910">
      <c r="A910" s="185"/>
      <c r="B910" s="187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</row>
    <row r="911">
      <c r="A911" s="185"/>
      <c r="B911" s="187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</row>
    <row r="912">
      <c r="A912" s="185"/>
      <c r="B912" s="187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</row>
    <row r="913">
      <c r="A913" s="185"/>
      <c r="B913" s="187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</row>
    <row r="914">
      <c r="A914" s="185"/>
      <c r="B914" s="187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</row>
    <row r="915">
      <c r="A915" s="185"/>
      <c r="B915" s="187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</row>
    <row r="916">
      <c r="A916" s="185"/>
      <c r="B916" s="187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</row>
    <row r="917">
      <c r="A917" s="185"/>
      <c r="B917" s="187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</row>
    <row r="918">
      <c r="A918" s="185"/>
      <c r="B918" s="187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</row>
    <row r="919">
      <c r="A919" s="185"/>
      <c r="B919" s="187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</row>
    <row r="920">
      <c r="A920" s="185"/>
      <c r="B920" s="187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</row>
    <row r="921">
      <c r="A921" s="185"/>
      <c r="B921" s="187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</row>
    <row r="922">
      <c r="A922" s="185"/>
      <c r="B922" s="187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</row>
    <row r="923">
      <c r="A923" s="185"/>
      <c r="B923" s="187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</row>
    <row r="924">
      <c r="A924" s="185"/>
      <c r="B924" s="187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</row>
    <row r="925">
      <c r="A925" s="185"/>
      <c r="B925" s="187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</row>
    <row r="926">
      <c r="A926" s="185"/>
      <c r="B926" s="187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</row>
    <row r="927">
      <c r="A927" s="185"/>
      <c r="B927" s="187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</row>
    <row r="928">
      <c r="A928" s="185"/>
      <c r="B928" s="187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</row>
    <row r="929">
      <c r="A929" s="185"/>
      <c r="B929" s="187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</row>
    <row r="930">
      <c r="A930" s="185"/>
      <c r="B930" s="187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</row>
    <row r="931">
      <c r="A931" s="185"/>
      <c r="B931" s="187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</row>
    <row r="932">
      <c r="A932" s="185"/>
      <c r="B932" s="187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</row>
    <row r="933">
      <c r="A933" s="185"/>
      <c r="B933" s="187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</row>
    <row r="934">
      <c r="A934" s="185"/>
      <c r="B934" s="187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</row>
    <row r="935">
      <c r="A935" s="185"/>
      <c r="B935" s="187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</row>
    <row r="936">
      <c r="A936" s="185"/>
      <c r="B936" s="187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</row>
    <row r="937">
      <c r="A937" s="185"/>
      <c r="B937" s="187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</row>
    <row r="938">
      <c r="A938" s="185"/>
      <c r="B938" s="187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</row>
    <row r="939">
      <c r="A939" s="185"/>
      <c r="B939" s="187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</row>
    <row r="940">
      <c r="A940" s="185"/>
      <c r="B940" s="187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</row>
    <row r="941">
      <c r="A941" s="185"/>
      <c r="B941" s="187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</row>
    <row r="942">
      <c r="A942" s="185"/>
      <c r="B942" s="187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</row>
    <row r="943">
      <c r="A943" s="185"/>
      <c r="B943" s="187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</row>
    <row r="944">
      <c r="A944" s="185"/>
      <c r="B944" s="187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</row>
    <row r="945">
      <c r="A945" s="185"/>
      <c r="B945" s="187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</row>
    <row r="946">
      <c r="A946" s="185"/>
      <c r="B946" s="187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</row>
    <row r="947">
      <c r="A947" s="185"/>
      <c r="B947" s="187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</row>
    <row r="948">
      <c r="A948" s="185"/>
      <c r="B948" s="187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</row>
    <row r="949">
      <c r="A949" s="185"/>
      <c r="B949" s="187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</row>
    <row r="950">
      <c r="A950" s="185"/>
      <c r="B950" s="187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</row>
    <row r="951">
      <c r="A951" s="185"/>
      <c r="B951" s="187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</row>
    <row r="952">
      <c r="A952" s="185"/>
      <c r="B952" s="187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</row>
    <row r="953">
      <c r="A953" s="185"/>
      <c r="B953" s="187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</row>
    <row r="954">
      <c r="A954" s="185"/>
      <c r="B954" s="187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</row>
    <row r="955">
      <c r="A955" s="185"/>
      <c r="B955" s="187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</row>
    <row r="956">
      <c r="A956" s="185"/>
      <c r="B956" s="187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</row>
    <row r="957">
      <c r="A957" s="185"/>
      <c r="B957" s="187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</row>
    <row r="958">
      <c r="A958" s="185"/>
      <c r="B958" s="187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</row>
    <row r="959">
      <c r="A959" s="185"/>
      <c r="B959" s="187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</row>
    <row r="960">
      <c r="A960" s="185"/>
      <c r="B960" s="187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</row>
    <row r="961">
      <c r="A961" s="185"/>
      <c r="B961" s="187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</row>
    <row r="962">
      <c r="A962" s="185"/>
      <c r="B962" s="187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</row>
    <row r="963">
      <c r="A963" s="185"/>
      <c r="B963" s="187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</row>
    <row r="964">
      <c r="A964" s="185"/>
      <c r="B964" s="187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</row>
    <row r="965">
      <c r="A965" s="185"/>
      <c r="B965" s="187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</row>
    <row r="966">
      <c r="A966" s="185"/>
      <c r="B966" s="187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</row>
    <row r="967">
      <c r="A967" s="185"/>
      <c r="B967" s="187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</row>
    <row r="968">
      <c r="A968" s="185"/>
      <c r="B968" s="187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</row>
    <row r="969">
      <c r="A969" s="185"/>
      <c r="B969" s="187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</row>
    <row r="970">
      <c r="A970" s="185"/>
      <c r="B970" s="187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</row>
    <row r="971">
      <c r="A971" s="185"/>
      <c r="B971" s="187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</row>
    <row r="972">
      <c r="A972" s="185"/>
      <c r="B972" s="187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</row>
    <row r="973">
      <c r="A973" s="185"/>
      <c r="B973" s="187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</row>
    <row r="974">
      <c r="A974" s="185"/>
      <c r="B974" s="187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</row>
    <row r="975">
      <c r="A975" s="185"/>
      <c r="B975" s="187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</row>
    <row r="976">
      <c r="A976" s="185"/>
      <c r="B976" s="187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</row>
    <row r="977">
      <c r="A977" s="185"/>
      <c r="B977" s="187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</row>
    <row r="978">
      <c r="A978" s="185"/>
      <c r="B978" s="187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</row>
    <row r="979">
      <c r="A979" s="185"/>
      <c r="B979" s="187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</row>
    <row r="980">
      <c r="A980" s="185"/>
      <c r="B980" s="187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</row>
    <row r="981">
      <c r="A981" s="185"/>
      <c r="B981" s="187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</row>
    <row r="982">
      <c r="A982" s="185"/>
      <c r="B982" s="187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</row>
    <row r="983">
      <c r="A983" s="185"/>
      <c r="B983" s="187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</row>
    <row r="984">
      <c r="A984" s="185"/>
      <c r="B984" s="187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</row>
    <row r="985">
      <c r="B985" s="263"/>
    </row>
    <row r="986">
      <c r="B986" s="263"/>
    </row>
    <row r="987">
      <c r="B987" s="263"/>
    </row>
  </sheetData>
  <mergeCells count="1">
    <mergeCell ref="A1:N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63"/>
    <col customWidth="1" min="3" max="3" width="75.0"/>
  </cols>
  <sheetData>
    <row r="1">
      <c r="A1" s="2" t="s">
        <v>1</v>
      </c>
      <c r="B1" s="4"/>
      <c r="C1" s="5"/>
    </row>
    <row r="2">
      <c r="A2" s="7" t="s">
        <v>4</v>
      </c>
      <c r="B2" s="10" t="s">
        <v>6</v>
      </c>
      <c r="C2" s="13" t="s">
        <v>8</v>
      </c>
    </row>
    <row r="3">
      <c r="A3" s="15"/>
      <c r="B3" s="18" t="s">
        <v>10</v>
      </c>
      <c r="C3" s="20" t="s">
        <v>13</v>
      </c>
    </row>
    <row r="4">
      <c r="A4" s="15"/>
      <c r="B4" s="18" t="s">
        <v>19</v>
      </c>
      <c r="C4" s="22" t="s">
        <v>20</v>
      </c>
    </row>
    <row r="5">
      <c r="A5" s="15"/>
      <c r="B5" s="18" t="s">
        <v>25</v>
      </c>
      <c r="C5" s="24" t="s">
        <v>26</v>
      </c>
    </row>
    <row r="6">
      <c r="A6" s="26"/>
      <c r="B6" s="29" t="s">
        <v>27</v>
      </c>
      <c r="C6" s="32"/>
    </row>
    <row r="7">
      <c r="A7" s="7" t="s">
        <v>31</v>
      </c>
      <c r="B7" s="10" t="s">
        <v>6</v>
      </c>
      <c r="C7" s="38" t="s">
        <v>35</v>
      </c>
    </row>
    <row r="8">
      <c r="A8" s="15"/>
      <c r="B8" s="18" t="s">
        <v>10</v>
      </c>
      <c r="C8" s="22" t="s">
        <v>39</v>
      </c>
    </row>
    <row r="9">
      <c r="A9" s="15"/>
      <c r="B9" s="18" t="s">
        <v>19</v>
      </c>
      <c r="C9" s="41"/>
    </row>
    <row r="10">
      <c r="A10" s="15"/>
      <c r="B10" s="18" t="s">
        <v>25</v>
      </c>
      <c r="C10" s="24" t="s">
        <v>42</v>
      </c>
    </row>
    <row r="11">
      <c r="A11" s="26"/>
      <c r="B11" s="29" t="s">
        <v>27</v>
      </c>
      <c r="C11" s="32" t="s">
        <v>46</v>
      </c>
    </row>
    <row r="12">
      <c r="A12" s="46" t="s">
        <v>53</v>
      </c>
      <c r="B12" s="48" t="s">
        <v>6</v>
      </c>
      <c r="C12" s="50" t="s">
        <v>66</v>
      </c>
    </row>
    <row r="13">
      <c r="A13" s="15"/>
      <c r="B13" s="18" t="s">
        <v>10</v>
      </c>
      <c r="C13" s="53" t="s">
        <v>69</v>
      </c>
    </row>
    <row r="14">
      <c r="A14" s="15"/>
      <c r="B14" s="18" t="s">
        <v>19</v>
      </c>
      <c r="C14" s="56"/>
    </row>
    <row r="15">
      <c r="A15" s="26"/>
      <c r="B15" s="58" t="s">
        <v>25</v>
      </c>
      <c r="C15" s="60" t="s">
        <v>79</v>
      </c>
    </row>
    <row r="16">
      <c r="A16" s="46" t="s">
        <v>83</v>
      </c>
      <c r="B16" s="48" t="s">
        <v>6</v>
      </c>
      <c r="C16" s="62" t="s">
        <v>84</v>
      </c>
    </row>
    <row r="17">
      <c r="A17" s="15"/>
      <c r="B17" s="18" t="s">
        <v>10</v>
      </c>
      <c r="C17" s="53" t="s">
        <v>93</v>
      </c>
    </row>
    <row r="18">
      <c r="A18" s="15"/>
      <c r="B18" s="18" t="s">
        <v>19</v>
      </c>
      <c r="C18" s="20"/>
    </row>
    <row r="19">
      <c r="A19" s="26"/>
      <c r="B19" s="58" t="s">
        <v>25</v>
      </c>
      <c r="C19" s="60" t="s">
        <v>99</v>
      </c>
    </row>
    <row r="20">
      <c r="A20" s="46" t="s">
        <v>102</v>
      </c>
      <c r="B20" s="48" t="s">
        <v>6</v>
      </c>
      <c r="C20" s="68" t="s">
        <v>105</v>
      </c>
    </row>
    <row r="21">
      <c r="A21" s="15"/>
      <c r="B21" s="18" t="s">
        <v>10</v>
      </c>
      <c r="C21" s="41" t="s">
        <v>110</v>
      </c>
    </row>
    <row r="22">
      <c r="A22" s="15"/>
      <c r="B22" s="18" t="s">
        <v>19</v>
      </c>
      <c r="C22" s="41" t="s">
        <v>111</v>
      </c>
    </row>
    <row r="23">
      <c r="A23" s="26"/>
      <c r="B23" s="58" t="s">
        <v>25</v>
      </c>
      <c r="C23" s="60" t="s">
        <v>112</v>
      </c>
    </row>
    <row r="24">
      <c r="A24" s="46" t="s">
        <v>113</v>
      </c>
      <c r="B24" s="48" t="s">
        <v>6</v>
      </c>
      <c r="C24" s="68" t="s">
        <v>118</v>
      </c>
    </row>
    <row r="25">
      <c r="A25" s="15"/>
      <c r="B25" s="18" t="s">
        <v>10</v>
      </c>
      <c r="C25" s="41" t="s">
        <v>110</v>
      </c>
    </row>
    <row r="26">
      <c r="A26" s="15"/>
      <c r="B26" s="18" t="s">
        <v>19</v>
      </c>
      <c r="C26" s="78" t="s">
        <v>122</v>
      </c>
    </row>
    <row r="27">
      <c r="A27" s="26"/>
      <c r="B27" s="79" t="s">
        <v>25</v>
      </c>
      <c r="C27" s="60" t="s">
        <v>136</v>
      </c>
    </row>
    <row r="28">
      <c r="A28" s="46" t="s">
        <v>137</v>
      </c>
      <c r="B28" s="81" t="s">
        <v>6</v>
      </c>
      <c r="C28" s="38" t="s">
        <v>140</v>
      </c>
    </row>
    <row r="29">
      <c r="A29" s="15"/>
      <c r="B29" s="84" t="s">
        <v>10</v>
      </c>
      <c r="C29" s="22" t="s">
        <v>39</v>
      </c>
    </row>
    <row r="30">
      <c r="A30" s="15"/>
      <c r="B30" s="84" t="s">
        <v>19</v>
      </c>
      <c r="C30" s="41"/>
    </row>
    <row r="31">
      <c r="A31" s="26"/>
      <c r="B31" s="87" t="s">
        <v>25</v>
      </c>
      <c r="C31" s="24" t="s">
        <v>147</v>
      </c>
    </row>
    <row r="32">
      <c r="A32" s="46" t="s">
        <v>148</v>
      </c>
      <c r="B32" s="81" t="s">
        <v>6</v>
      </c>
      <c r="C32" s="90"/>
    </row>
    <row r="33">
      <c r="A33" s="15"/>
      <c r="B33" s="84" t="s">
        <v>10</v>
      </c>
      <c r="C33" s="91"/>
    </row>
    <row r="34">
      <c r="A34" s="15"/>
      <c r="B34" s="84" t="s">
        <v>19</v>
      </c>
      <c r="C34" s="91"/>
    </row>
    <row r="35">
      <c r="A35" s="26"/>
      <c r="B35" s="87" t="s">
        <v>25</v>
      </c>
      <c r="C35" s="93"/>
    </row>
    <row r="36">
      <c r="A36" s="46" t="s">
        <v>155</v>
      </c>
      <c r="B36" s="94" t="s">
        <v>6</v>
      </c>
      <c r="C36" s="96"/>
    </row>
    <row r="37">
      <c r="A37" s="15"/>
      <c r="B37" s="99" t="s">
        <v>10</v>
      </c>
      <c r="C37" s="84"/>
    </row>
    <row r="38">
      <c r="A38" s="15"/>
      <c r="B38" s="99" t="s">
        <v>19</v>
      </c>
      <c r="C38" s="84"/>
    </row>
    <row r="39">
      <c r="A39" s="26"/>
      <c r="B39" s="102" t="s">
        <v>25</v>
      </c>
      <c r="C39" s="87"/>
    </row>
    <row r="40">
      <c r="A40" s="46" t="s">
        <v>165</v>
      </c>
      <c r="B40" s="94" t="s">
        <v>6</v>
      </c>
      <c r="C40" s="96"/>
    </row>
    <row r="41">
      <c r="A41" s="15"/>
      <c r="B41" s="99" t="s">
        <v>10</v>
      </c>
      <c r="C41" s="84"/>
    </row>
    <row r="42">
      <c r="A42" s="15"/>
      <c r="B42" s="99" t="s">
        <v>19</v>
      </c>
      <c r="C42" s="84"/>
    </row>
    <row r="43">
      <c r="A43" s="26"/>
      <c r="B43" s="102" t="s">
        <v>25</v>
      </c>
      <c r="C43" s="87"/>
    </row>
    <row r="44">
      <c r="A44" s="46" t="s">
        <v>171</v>
      </c>
      <c r="B44" s="94" t="s">
        <v>6</v>
      </c>
      <c r="C44" s="96"/>
    </row>
    <row r="45">
      <c r="A45" s="15"/>
      <c r="B45" s="99" t="s">
        <v>10</v>
      </c>
      <c r="C45" s="84"/>
    </row>
    <row r="46">
      <c r="A46" s="15"/>
      <c r="B46" s="99" t="s">
        <v>19</v>
      </c>
      <c r="C46" s="84"/>
    </row>
    <row r="47">
      <c r="A47" s="26"/>
      <c r="B47" s="102" t="s">
        <v>25</v>
      </c>
      <c r="C47" s="87"/>
    </row>
    <row r="48">
      <c r="A48" s="46" t="s">
        <v>177</v>
      </c>
      <c r="B48" s="94" t="s">
        <v>6</v>
      </c>
      <c r="C48" s="96"/>
    </row>
    <row r="49">
      <c r="A49" s="15"/>
      <c r="B49" s="99" t="s">
        <v>10</v>
      </c>
      <c r="C49" s="84"/>
    </row>
    <row r="50">
      <c r="A50" s="15"/>
      <c r="B50" s="99" t="s">
        <v>19</v>
      </c>
      <c r="C50" s="84"/>
    </row>
    <row r="51">
      <c r="A51" s="26"/>
      <c r="B51" s="102" t="s">
        <v>25</v>
      </c>
      <c r="C51" s="87"/>
    </row>
    <row r="52">
      <c r="A52" s="46" t="s">
        <v>182</v>
      </c>
      <c r="B52" s="94" t="s">
        <v>6</v>
      </c>
      <c r="C52" s="96"/>
    </row>
    <row r="53">
      <c r="A53" s="15"/>
      <c r="B53" s="99" t="s">
        <v>10</v>
      </c>
      <c r="C53" s="84"/>
    </row>
    <row r="54">
      <c r="A54" s="15"/>
      <c r="B54" s="99" t="s">
        <v>19</v>
      </c>
      <c r="C54" s="84"/>
    </row>
    <row r="55">
      <c r="A55" s="26"/>
      <c r="B55" s="102" t="s">
        <v>25</v>
      </c>
      <c r="C55" s="87"/>
    </row>
    <row r="56">
      <c r="A56" s="46" t="s">
        <v>186</v>
      </c>
      <c r="B56" s="94" t="s">
        <v>6</v>
      </c>
      <c r="C56" s="96"/>
    </row>
    <row r="57">
      <c r="A57" s="15"/>
      <c r="B57" s="99" t="s">
        <v>10</v>
      </c>
      <c r="C57" s="84"/>
    </row>
    <row r="58">
      <c r="A58" s="15"/>
      <c r="B58" s="99" t="s">
        <v>19</v>
      </c>
      <c r="C58" s="84"/>
    </row>
    <row r="59">
      <c r="A59" s="26"/>
      <c r="B59" s="102" t="s">
        <v>25</v>
      </c>
      <c r="C59" s="87"/>
    </row>
    <row r="60">
      <c r="A60" s="46" t="s">
        <v>192</v>
      </c>
      <c r="B60" s="94" t="s">
        <v>6</v>
      </c>
      <c r="C60" s="96"/>
    </row>
    <row r="61">
      <c r="A61" s="15"/>
      <c r="B61" s="99" t="s">
        <v>10</v>
      </c>
      <c r="C61" s="84"/>
    </row>
    <row r="62">
      <c r="A62" s="15"/>
      <c r="B62" s="99" t="s">
        <v>19</v>
      </c>
      <c r="C62" s="84"/>
    </row>
    <row r="63">
      <c r="A63" s="26"/>
      <c r="B63" s="102" t="s">
        <v>25</v>
      </c>
      <c r="C63" s="87"/>
    </row>
    <row r="64">
      <c r="A64" s="46" t="s">
        <v>199</v>
      </c>
      <c r="B64" s="94" t="s">
        <v>6</v>
      </c>
      <c r="C64" s="96"/>
    </row>
    <row r="65">
      <c r="A65" s="15"/>
      <c r="B65" s="99" t="s">
        <v>10</v>
      </c>
      <c r="C65" s="84"/>
    </row>
    <row r="66">
      <c r="A66" s="15"/>
      <c r="B66" s="99" t="s">
        <v>19</v>
      </c>
      <c r="C66" s="84"/>
    </row>
    <row r="67">
      <c r="A67" s="26"/>
      <c r="B67" s="102" t="s">
        <v>25</v>
      </c>
      <c r="C67" s="87"/>
    </row>
    <row r="68">
      <c r="A68" s="46" t="s">
        <v>204</v>
      </c>
      <c r="B68" s="94" t="s">
        <v>6</v>
      </c>
      <c r="C68" s="96"/>
    </row>
    <row r="69">
      <c r="A69" s="15"/>
      <c r="B69" s="99" t="s">
        <v>10</v>
      </c>
      <c r="C69" s="84"/>
    </row>
    <row r="70">
      <c r="A70" s="15"/>
      <c r="B70" s="99" t="s">
        <v>19</v>
      </c>
      <c r="C70" s="84"/>
    </row>
    <row r="71">
      <c r="A71" s="26"/>
      <c r="B71" s="102" t="s">
        <v>25</v>
      </c>
      <c r="C71" s="87"/>
    </row>
    <row r="72">
      <c r="A72" s="46" t="s">
        <v>211</v>
      </c>
      <c r="B72" s="94" t="s">
        <v>6</v>
      </c>
      <c r="C72" s="96"/>
    </row>
    <row r="73">
      <c r="A73" s="15"/>
      <c r="B73" s="99" t="s">
        <v>10</v>
      </c>
      <c r="C73" s="84"/>
    </row>
    <row r="74">
      <c r="A74" s="15"/>
      <c r="B74" s="99" t="s">
        <v>19</v>
      </c>
      <c r="C74" s="84"/>
    </row>
    <row r="75">
      <c r="A75" s="26"/>
      <c r="B75" s="102" t="s">
        <v>25</v>
      </c>
      <c r="C75" s="87"/>
    </row>
    <row r="76">
      <c r="A76" s="46" t="s">
        <v>221</v>
      </c>
      <c r="B76" s="94" t="s">
        <v>6</v>
      </c>
      <c r="C76" s="96"/>
    </row>
    <row r="77">
      <c r="A77" s="15"/>
      <c r="B77" s="99" t="s">
        <v>10</v>
      </c>
      <c r="C77" s="84"/>
    </row>
    <row r="78">
      <c r="A78" s="15"/>
      <c r="B78" s="99" t="s">
        <v>19</v>
      </c>
      <c r="C78" s="84"/>
    </row>
    <row r="79">
      <c r="A79" s="26"/>
      <c r="B79" s="102" t="s">
        <v>25</v>
      </c>
      <c r="C79" s="87"/>
    </row>
    <row r="80">
      <c r="A80" s="113"/>
    </row>
    <row r="81">
      <c r="A81" s="113"/>
    </row>
    <row r="82">
      <c r="A82" s="113"/>
    </row>
    <row r="83">
      <c r="A83" s="113"/>
    </row>
    <row r="84">
      <c r="A84" s="113"/>
    </row>
    <row r="85">
      <c r="A85" s="113"/>
    </row>
    <row r="86">
      <c r="A86" s="113"/>
    </row>
    <row r="87">
      <c r="A87" s="113"/>
    </row>
    <row r="88">
      <c r="A88" s="113"/>
    </row>
    <row r="89">
      <c r="A89" s="113"/>
    </row>
    <row r="90">
      <c r="A90" s="113"/>
    </row>
    <row r="91">
      <c r="A91" s="113"/>
    </row>
    <row r="92">
      <c r="A92" s="113"/>
    </row>
    <row r="93">
      <c r="A93" s="113"/>
    </row>
    <row r="94">
      <c r="A94" s="113"/>
    </row>
    <row r="95">
      <c r="A95" s="113"/>
    </row>
    <row r="96">
      <c r="A96" s="113"/>
    </row>
    <row r="97">
      <c r="A97" s="113"/>
    </row>
    <row r="98">
      <c r="A98" s="113"/>
    </row>
    <row r="99">
      <c r="A99" s="113"/>
    </row>
    <row r="100">
      <c r="A100" s="113"/>
    </row>
    <row r="101">
      <c r="A101" s="113"/>
    </row>
    <row r="102">
      <c r="A102" s="113"/>
    </row>
    <row r="103">
      <c r="A103" s="113"/>
    </row>
    <row r="104">
      <c r="A104" s="113"/>
    </row>
    <row r="105">
      <c r="A105" s="113"/>
    </row>
    <row r="106">
      <c r="A106" s="113"/>
    </row>
    <row r="107">
      <c r="A107" s="113"/>
    </row>
    <row r="108">
      <c r="A108" s="113"/>
    </row>
    <row r="109">
      <c r="A109" s="113"/>
    </row>
    <row r="110">
      <c r="A110" s="113"/>
    </row>
    <row r="111">
      <c r="A111" s="113"/>
    </row>
    <row r="112">
      <c r="A112" s="113"/>
    </row>
    <row r="113">
      <c r="A113" s="113"/>
    </row>
    <row r="114">
      <c r="A114" s="113"/>
    </row>
    <row r="115">
      <c r="A115" s="113"/>
    </row>
    <row r="116">
      <c r="A116" s="113"/>
    </row>
    <row r="117">
      <c r="A117" s="113"/>
    </row>
    <row r="118">
      <c r="A118" s="113"/>
    </row>
    <row r="119">
      <c r="A119" s="113"/>
    </row>
    <row r="120">
      <c r="A120" s="113"/>
    </row>
    <row r="121">
      <c r="A121" s="113"/>
    </row>
    <row r="122">
      <c r="A122" s="113"/>
    </row>
    <row r="123">
      <c r="A123" s="113"/>
    </row>
    <row r="124">
      <c r="A124" s="113"/>
    </row>
    <row r="125">
      <c r="A125" s="113"/>
    </row>
    <row r="126">
      <c r="A126" s="113"/>
    </row>
    <row r="127">
      <c r="A127" s="113"/>
    </row>
    <row r="128">
      <c r="A128" s="113"/>
    </row>
    <row r="129">
      <c r="A129" s="113"/>
    </row>
    <row r="130">
      <c r="A130" s="113"/>
    </row>
    <row r="131">
      <c r="A131" s="113"/>
    </row>
    <row r="132">
      <c r="A132" s="113"/>
    </row>
    <row r="133">
      <c r="A133" s="113"/>
    </row>
    <row r="134">
      <c r="A134" s="113"/>
    </row>
    <row r="135">
      <c r="A135" s="113"/>
    </row>
    <row r="136">
      <c r="A136" s="113"/>
    </row>
    <row r="137">
      <c r="A137" s="113"/>
    </row>
    <row r="138">
      <c r="A138" s="113"/>
    </row>
    <row r="139">
      <c r="A139" s="113"/>
    </row>
    <row r="140">
      <c r="A140" s="113"/>
    </row>
    <row r="141">
      <c r="A141" s="113"/>
    </row>
    <row r="142">
      <c r="A142" s="113"/>
    </row>
    <row r="143">
      <c r="A143" s="113"/>
    </row>
    <row r="144">
      <c r="A144" s="113"/>
    </row>
    <row r="145">
      <c r="A145" s="113"/>
    </row>
    <row r="146">
      <c r="A146" s="113"/>
    </row>
    <row r="147">
      <c r="A147" s="113"/>
    </row>
    <row r="148">
      <c r="A148" s="113"/>
    </row>
    <row r="149">
      <c r="A149" s="113"/>
    </row>
    <row r="150">
      <c r="A150" s="113"/>
    </row>
    <row r="151">
      <c r="A151" s="113"/>
    </row>
    <row r="152">
      <c r="A152" s="113"/>
    </row>
    <row r="153">
      <c r="A153" s="113"/>
    </row>
    <row r="154">
      <c r="A154" s="113"/>
    </row>
    <row r="155">
      <c r="A155" s="113"/>
    </row>
    <row r="156">
      <c r="A156" s="113"/>
    </row>
    <row r="157">
      <c r="A157" s="113"/>
    </row>
    <row r="158">
      <c r="A158" s="113"/>
    </row>
    <row r="159">
      <c r="A159" s="113"/>
    </row>
    <row r="160">
      <c r="A160" s="113"/>
    </row>
    <row r="161">
      <c r="A161" s="113"/>
    </row>
    <row r="162">
      <c r="A162" s="113"/>
    </row>
    <row r="163">
      <c r="A163" s="113"/>
    </row>
    <row r="164">
      <c r="A164" s="113"/>
    </row>
    <row r="165">
      <c r="A165" s="113"/>
    </row>
    <row r="166">
      <c r="A166" s="113"/>
    </row>
    <row r="167">
      <c r="A167" s="113"/>
    </row>
    <row r="168">
      <c r="A168" s="113"/>
    </row>
    <row r="169">
      <c r="A169" s="113"/>
    </row>
    <row r="170">
      <c r="A170" s="113"/>
    </row>
    <row r="171">
      <c r="A171" s="113"/>
    </row>
    <row r="172">
      <c r="A172" s="113"/>
    </row>
    <row r="173">
      <c r="A173" s="113"/>
    </row>
    <row r="174">
      <c r="A174" s="113"/>
    </row>
    <row r="175">
      <c r="A175" s="113"/>
    </row>
    <row r="176">
      <c r="A176" s="113"/>
    </row>
    <row r="177">
      <c r="A177" s="113"/>
    </row>
    <row r="178">
      <c r="A178" s="113"/>
    </row>
    <row r="179">
      <c r="A179" s="113"/>
    </row>
    <row r="180">
      <c r="A180" s="113"/>
    </row>
    <row r="181">
      <c r="A181" s="113"/>
    </row>
    <row r="182">
      <c r="A182" s="113"/>
    </row>
    <row r="183">
      <c r="A183" s="113"/>
    </row>
    <row r="184">
      <c r="A184" s="113"/>
    </row>
    <row r="185">
      <c r="A185" s="113"/>
    </row>
    <row r="186">
      <c r="A186" s="113"/>
    </row>
    <row r="187">
      <c r="A187" s="113"/>
    </row>
    <row r="188">
      <c r="A188" s="113"/>
    </row>
    <row r="189">
      <c r="A189" s="113"/>
    </row>
    <row r="190">
      <c r="A190" s="113"/>
    </row>
    <row r="191">
      <c r="A191" s="113"/>
    </row>
    <row r="192">
      <c r="A192" s="113"/>
    </row>
    <row r="193">
      <c r="A193" s="113"/>
    </row>
    <row r="194">
      <c r="A194" s="113"/>
    </row>
    <row r="195">
      <c r="A195" s="113"/>
    </row>
    <row r="196">
      <c r="A196" s="113"/>
    </row>
    <row r="197">
      <c r="A197" s="113"/>
    </row>
    <row r="198">
      <c r="A198" s="113"/>
    </row>
    <row r="199">
      <c r="A199" s="113"/>
    </row>
    <row r="200">
      <c r="A200" s="113"/>
    </row>
    <row r="201">
      <c r="A201" s="113"/>
    </row>
    <row r="202">
      <c r="A202" s="113"/>
    </row>
    <row r="203">
      <c r="A203" s="113"/>
    </row>
    <row r="204">
      <c r="A204" s="113"/>
    </row>
    <row r="205">
      <c r="A205" s="113"/>
    </row>
    <row r="206">
      <c r="A206" s="113"/>
    </row>
    <row r="207">
      <c r="A207" s="113"/>
    </row>
    <row r="208">
      <c r="A208" s="113"/>
    </row>
    <row r="209">
      <c r="A209" s="113"/>
    </row>
    <row r="210">
      <c r="A210" s="113"/>
    </row>
    <row r="211">
      <c r="A211" s="113"/>
    </row>
    <row r="212">
      <c r="A212" s="113"/>
    </row>
    <row r="213">
      <c r="A213" s="113"/>
    </row>
    <row r="214">
      <c r="A214" s="113"/>
    </row>
    <row r="215">
      <c r="A215" s="113"/>
    </row>
    <row r="216">
      <c r="A216" s="113"/>
    </row>
    <row r="217">
      <c r="A217" s="113"/>
    </row>
    <row r="218">
      <c r="A218" s="113"/>
    </row>
    <row r="219">
      <c r="A219" s="113"/>
    </row>
    <row r="220">
      <c r="A220" s="113"/>
    </row>
    <row r="221">
      <c r="A221" s="113"/>
    </row>
    <row r="222">
      <c r="A222" s="113"/>
    </row>
    <row r="223">
      <c r="A223" s="113"/>
    </row>
    <row r="224">
      <c r="A224" s="113"/>
    </row>
    <row r="225">
      <c r="A225" s="113"/>
    </row>
    <row r="226">
      <c r="A226" s="113"/>
    </row>
    <row r="227">
      <c r="A227" s="113"/>
    </row>
    <row r="228">
      <c r="A228" s="113"/>
    </row>
    <row r="229">
      <c r="A229" s="113"/>
    </row>
    <row r="230">
      <c r="A230" s="113"/>
    </row>
    <row r="231">
      <c r="A231" s="113"/>
    </row>
    <row r="232">
      <c r="A232" s="113"/>
    </row>
    <row r="233">
      <c r="A233" s="113"/>
    </row>
    <row r="234">
      <c r="A234" s="113"/>
    </row>
    <row r="235">
      <c r="A235" s="113"/>
    </row>
    <row r="236">
      <c r="A236" s="113"/>
    </row>
    <row r="237">
      <c r="A237" s="113"/>
    </row>
    <row r="238">
      <c r="A238" s="113"/>
    </row>
    <row r="239">
      <c r="A239" s="113"/>
    </row>
    <row r="240">
      <c r="A240" s="113"/>
    </row>
    <row r="241">
      <c r="A241" s="113"/>
    </row>
    <row r="242">
      <c r="A242" s="113"/>
    </row>
    <row r="243">
      <c r="A243" s="113"/>
    </row>
    <row r="244">
      <c r="A244" s="113"/>
    </row>
    <row r="245">
      <c r="A245" s="113"/>
    </row>
    <row r="246">
      <c r="A246" s="113"/>
    </row>
    <row r="247">
      <c r="A247" s="113"/>
    </row>
    <row r="248">
      <c r="A248" s="113"/>
    </row>
    <row r="249">
      <c r="A249" s="113"/>
    </row>
    <row r="250">
      <c r="A250" s="113"/>
    </row>
    <row r="251">
      <c r="A251" s="113"/>
    </row>
    <row r="252">
      <c r="A252" s="113"/>
    </row>
    <row r="253">
      <c r="A253" s="113"/>
    </row>
    <row r="254">
      <c r="A254" s="113"/>
    </row>
    <row r="255">
      <c r="A255" s="113"/>
    </row>
    <row r="256">
      <c r="A256" s="113"/>
    </row>
    <row r="257">
      <c r="A257" s="113"/>
    </row>
    <row r="258">
      <c r="A258" s="113"/>
    </row>
    <row r="259">
      <c r="A259" s="113"/>
    </row>
    <row r="260">
      <c r="A260" s="113"/>
    </row>
    <row r="261">
      <c r="A261" s="113"/>
    </row>
    <row r="262">
      <c r="A262" s="113"/>
    </row>
    <row r="263">
      <c r="A263" s="113"/>
    </row>
    <row r="264">
      <c r="A264" s="113"/>
    </row>
    <row r="265">
      <c r="A265" s="113"/>
    </row>
    <row r="266">
      <c r="A266" s="113"/>
    </row>
    <row r="267">
      <c r="A267" s="113"/>
    </row>
    <row r="268">
      <c r="A268" s="113"/>
    </row>
    <row r="269">
      <c r="A269" s="113"/>
    </row>
    <row r="270">
      <c r="A270" s="113"/>
    </row>
    <row r="271">
      <c r="A271" s="113"/>
    </row>
    <row r="272">
      <c r="A272" s="113"/>
    </row>
    <row r="273">
      <c r="A273" s="113"/>
    </row>
    <row r="274">
      <c r="A274" s="113"/>
    </row>
    <row r="275">
      <c r="A275" s="113"/>
    </row>
    <row r="276">
      <c r="A276" s="113"/>
    </row>
    <row r="277">
      <c r="A277" s="113"/>
    </row>
    <row r="278">
      <c r="A278" s="113"/>
    </row>
    <row r="279">
      <c r="A279" s="113"/>
    </row>
    <row r="280">
      <c r="A280" s="113"/>
    </row>
    <row r="281">
      <c r="A281" s="113"/>
    </row>
    <row r="282">
      <c r="A282" s="113"/>
    </row>
    <row r="283">
      <c r="A283" s="113"/>
    </row>
    <row r="284">
      <c r="A284" s="113"/>
    </row>
    <row r="285">
      <c r="A285" s="113"/>
    </row>
    <row r="286">
      <c r="A286" s="113"/>
    </row>
    <row r="287">
      <c r="A287" s="113"/>
    </row>
    <row r="288">
      <c r="A288" s="113"/>
    </row>
    <row r="289">
      <c r="A289" s="113"/>
    </row>
    <row r="290">
      <c r="A290" s="113"/>
    </row>
    <row r="291">
      <c r="A291" s="113"/>
    </row>
    <row r="292">
      <c r="A292" s="113"/>
    </row>
    <row r="293">
      <c r="A293" s="113"/>
    </row>
    <row r="294">
      <c r="A294" s="113"/>
    </row>
    <row r="295">
      <c r="A295" s="113"/>
    </row>
    <row r="296">
      <c r="A296" s="113"/>
    </row>
    <row r="297">
      <c r="A297" s="113"/>
    </row>
    <row r="298">
      <c r="A298" s="113"/>
    </row>
    <row r="299">
      <c r="A299" s="113"/>
    </row>
    <row r="300">
      <c r="A300" s="113"/>
    </row>
    <row r="301">
      <c r="A301" s="113"/>
    </row>
    <row r="302">
      <c r="A302" s="113"/>
    </row>
    <row r="303">
      <c r="A303" s="113"/>
    </row>
    <row r="304">
      <c r="A304" s="113"/>
    </row>
    <row r="305">
      <c r="A305" s="113"/>
    </row>
    <row r="306">
      <c r="A306" s="113"/>
    </row>
    <row r="307">
      <c r="A307" s="113"/>
    </row>
    <row r="308">
      <c r="A308" s="113"/>
    </row>
    <row r="309">
      <c r="A309" s="113"/>
    </row>
    <row r="310">
      <c r="A310" s="113"/>
    </row>
    <row r="311">
      <c r="A311" s="113"/>
    </row>
    <row r="312">
      <c r="A312" s="113"/>
    </row>
    <row r="313">
      <c r="A313" s="113"/>
    </row>
    <row r="314">
      <c r="A314" s="113"/>
    </row>
    <row r="315">
      <c r="A315" s="113"/>
    </row>
    <row r="316">
      <c r="A316" s="113"/>
    </row>
    <row r="317">
      <c r="A317" s="113"/>
    </row>
    <row r="318">
      <c r="A318" s="113"/>
    </row>
    <row r="319">
      <c r="A319" s="113"/>
    </row>
    <row r="320">
      <c r="A320" s="113"/>
    </row>
    <row r="321">
      <c r="A321" s="113"/>
    </row>
    <row r="322">
      <c r="A322" s="113"/>
    </row>
    <row r="323">
      <c r="A323" s="113"/>
    </row>
    <row r="324">
      <c r="A324" s="113"/>
    </row>
    <row r="325">
      <c r="A325" s="113"/>
    </row>
    <row r="326">
      <c r="A326" s="113"/>
    </row>
    <row r="327">
      <c r="A327" s="113"/>
    </row>
    <row r="328">
      <c r="A328" s="113"/>
    </row>
    <row r="329">
      <c r="A329" s="113"/>
    </row>
    <row r="330">
      <c r="A330" s="113"/>
    </row>
    <row r="331">
      <c r="A331" s="113"/>
    </row>
    <row r="332">
      <c r="A332" s="113"/>
    </row>
    <row r="333">
      <c r="A333" s="113"/>
    </row>
    <row r="334">
      <c r="A334" s="113"/>
    </row>
    <row r="335">
      <c r="A335" s="113"/>
    </row>
    <row r="336">
      <c r="A336" s="113"/>
    </row>
    <row r="337">
      <c r="A337" s="113"/>
    </row>
    <row r="338">
      <c r="A338" s="113"/>
    </row>
    <row r="339">
      <c r="A339" s="113"/>
    </row>
    <row r="340">
      <c r="A340" s="113"/>
    </row>
    <row r="341">
      <c r="A341" s="113"/>
    </row>
    <row r="342">
      <c r="A342" s="113"/>
    </row>
    <row r="343">
      <c r="A343" s="113"/>
    </row>
    <row r="344">
      <c r="A344" s="113"/>
    </row>
    <row r="345">
      <c r="A345" s="113"/>
    </row>
    <row r="346">
      <c r="A346" s="113"/>
    </row>
    <row r="347">
      <c r="A347" s="113"/>
    </row>
    <row r="348">
      <c r="A348" s="113"/>
    </row>
    <row r="349">
      <c r="A349" s="113"/>
    </row>
    <row r="350">
      <c r="A350" s="113"/>
    </row>
    <row r="351">
      <c r="A351" s="113"/>
    </row>
    <row r="352">
      <c r="A352" s="113"/>
    </row>
    <row r="353">
      <c r="A353" s="113"/>
    </row>
    <row r="354">
      <c r="A354" s="113"/>
    </row>
    <row r="355">
      <c r="A355" s="113"/>
    </row>
    <row r="356">
      <c r="A356" s="113"/>
    </row>
    <row r="357">
      <c r="A357" s="113"/>
    </row>
    <row r="358">
      <c r="A358" s="113"/>
    </row>
    <row r="359">
      <c r="A359" s="113"/>
    </row>
    <row r="360">
      <c r="A360" s="113"/>
    </row>
    <row r="361">
      <c r="A361" s="113"/>
    </row>
    <row r="362">
      <c r="A362" s="113"/>
    </row>
    <row r="363">
      <c r="A363" s="113"/>
    </row>
    <row r="364">
      <c r="A364" s="113"/>
    </row>
    <row r="365">
      <c r="A365" s="113"/>
    </row>
    <row r="366">
      <c r="A366" s="113"/>
    </row>
    <row r="367">
      <c r="A367" s="113"/>
    </row>
    <row r="368">
      <c r="A368" s="113"/>
    </row>
    <row r="369">
      <c r="A369" s="113"/>
    </row>
    <row r="370">
      <c r="A370" s="113"/>
    </row>
    <row r="371">
      <c r="A371" s="113"/>
    </row>
    <row r="372">
      <c r="A372" s="113"/>
    </row>
    <row r="373">
      <c r="A373" s="113"/>
    </row>
    <row r="374">
      <c r="A374" s="113"/>
    </row>
    <row r="375">
      <c r="A375" s="113"/>
    </row>
    <row r="376">
      <c r="A376" s="113"/>
    </row>
    <row r="377">
      <c r="A377" s="113"/>
    </row>
    <row r="378">
      <c r="A378" s="113"/>
    </row>
    <row r="379">
      <c r="A379" s="113"/>
    </row>
    <row r="380">
      <c r="A380" s="113"/>
    </row>
    <row r="381">
      <c r="A381" s="113"/>
    </row>
    <row r="382">
      <c r="A382" s="113"/>
    </row>
    <row r="383">
      <c r="A383" s="113"/>
    </row>
    <row r="384">
      <c r="A384" s="113"/>
    </row>
    <row r="385">
      <c r="A385" s="113"/>
    </row>
    <row r="386">
      <c r="A386" s="113"/>
    </row>
    <row r="387">
      <c r="A387" s="113"/>
    </row>
    <row r="388">
      <c r="A388" s="113"/>
    </row>
    <row r="389">
      <c r="A389" s="113"/>
    </row>
    <row r="390">
      <c r="A390" s="113"/>
    </row>
    <row r="391">
      <c r="A391" s="113"/>
    </row>
    <row r="392">
      <c r="A392" s="113"/>
    </row>
    <row r="393">
      <c r="A393" s="113"/>
    </row>
    <row r="394">
      <c r="A394" s="113"/>
    </row>
    <row r="395">
      <c r="A395" s="113"/>
    </row>
    <row r="396">
      <c r="A396" s="113"/>
    </row>
    <row r="397">
      <c r="A397" s="113"/>
    </row>
    <row r="398">
      <c r="A398" s="113"/>
    </row>
    <row r="399">
      <c r="A399" s="113"/>
    </row>
    <row r="400">
      <c r="A400" s="113"/>
    </row>
    <row r="401">
      <c r="A401" s="113"/>
    </row>
    <row r="402">
      <c r="A402" s="113"/>
    </row>
    <row r="403">
      <c r="A403" s="113"/>
    </row>
    <row r="404">
      <c r="A404" s="113"/>
    </row>
    <row r="405">
      <c r="A405" s="113"/>
    </row>
    <row r="406">
      <c r="A406" s="113"/>
    </row>
    <row r="407">
      <c r="A407" s="113"/>
    </row>
    <row r="408">
      <c r="A408" s="113"/>
    </row>
    <row r="409">
      <c r="A409" s="113"/>
    </row>
    <row r="410">
      <c r="A410" s="113"/>
    </row>
    <row r="411">
      <c r="A411" s="113"/>
    </row>
    <row r="412">
      <c r="A412" s="113"/>
    </row>
    <row r="413">
      <c r="A413" s="113"/>
    </row>
    <row r="414">
      <c r="A414" s="113"/>
    </row>
    <row r="415">
      <c r="A415" s="113"/>
    </row>
    <row r="416">
      <c r="A416" s="113"/>
    </row>
    <row r="417">
      <c r="A417" s="113"/>
    </row>
    <row r="418">
      <c r="A418" s="113"/>
    </row>
    <row r="419">
      <c r="A419" s="113"/>
    </row>
    <row r="420">
      <c r="A420" s="113"/>
    </row>
    <row r="421">
      <c r="A421" s="113"/>
    </row>
    <row r="422">
      <c r="A422" s="113"/>
    </row>
    <row r="423">
      <c r="A423" s="113"/>
    </row>
    <row r="424">
      <c r="A424" s="113"/>
    </row>
    <row r="425">
      <c r="A425" s="113"/>
    </row>
    <row r="426">
      <c r="A426" s="113"/>
    </row>
    <row r="427">
      <c r="A427" s="113"/>
    </row>
    <row r="428">
      <c r="A428" s="113"/>
    </row>
    <row r="429">
      <c r="A429" s="113"/>
    </row>
    <row r="430">
      <c r="A430" s="113"/>
    </row>
    <row r="431">
      <c r="A431" s="113"/>
    </row>
    <row r="432">
      <c r="A432" s="113"/>
    </row>
    <row r="433">
      <c r="A433" s="113"/>
    </row>
    <row r="434">
      <c r="A434" s="113"/>
    </row>
    <row r="435">
      <c r="A435" s="113"/>
    </row>
    <row r="436">
      <c r="A436" s="113"/>
    </row>
    <row r="437">
      <c r="A437" s="113"/>
    </row>
    <row r="438">
      <c r="A438" s="113"/>
    </row>
    <row r="439">
      <c r="A439" s="113"/>
    </row>
    <row r="440">
      <c r="A440" s="113"/>
    </row>
    <row r="441">
      <c r="A441" s="113"/>
    </row>
    <row r="442">
      <c r="A442" s="113"/>
    </row>
    <row r="443">
      <c r="A443" s="113"/>
    </row>
    <row r="444">
      <c r="A444" s="113"/>
    </row>
    <row r="445">
      <c r="A445" s="113"/>
    </row>
    <row r="446">
      <c r="A446" s="113"/>
    </row>
    <row r="447">
      <c r="A447" s="113"/>
    </row>
    <row r="448">
      <c r="A448" s="113"/>
    </row>
    <row r="449">
      <c r="A449" s="113"/>
    </row>
    <row r="450">
      <c r="A450" s="113"/>
    </row>
    <row r="451">
      <c r="A451" s="113"/>
    </row>
    <row r="452">
      <c r="A452" s="113"/>
    </row>
    <row r="453">
      <c r="A453" s="113"/>
    </row>
    <row r="454">
      <c r="A454" s="113"/>
    </row>
    <row r="455">
      <c r="A455" s="113"/>
    </row>
    <row r="456">
      <c r="A456" s="113"/>
    </row>
    <row r="457">
      <c r="A457" s="113"/>
    </row>
    <row r="458">
      <c r="A458" s="113"/>
    </row>
    <row r="459">
      <c r="A459" s="113"/>
    </row>
    <row r="460">
      <c r="A460" s="113"/>
    </row>
    <row r="461">
      <c r="A461" s="113"/>
    </row>
    <row r="462">
      <c r="A462" s="113"/>
    </row>
    <row r="463">
      <c r="A463" s="113"/>
    </row>
    <row r="464">
      <c r="A464" s="113"/>
    </row>
    <row r="465">
      <c r="A465" s="113"/>
    </row>
    <row r="466">
      <c r="A466" s="113"/>
    </row>
    <row r="467">
      <c r="A467" s="113"/>
    </row>
    <row r="468">
      <c r="A468" s="113"/>
    </row>
    <row r="469">
      <c r="A469" s="113"/>
    </row>
    <row r="470">
      <c r="A470" s="113"/>
    </row>
    <row r="471">
      <c r="A471" s="113"/>
    </row>
    <row r="472">
      <c r="A472" s="113"/>
    </row>
    <row r="473">
      <c r="A473" s="113"/>
    </row>
    <row r="474">
      <c r="A474" s="113"/>
    </row>
    <row r="475">
      <c r="A475" s="113"/>
    </row>
    <row r="476">
      <c r="A476" s="113"/>
    </row>
    <row r="477">
      <c r="A477" s="113"/>
    </row>
    <row r="478">
      <c r="A478" s="113"/>
    </row>
    <row r="479">
      <c r="A479" s="113"/>
    </row>
    <row r="480">
      <c r="A480" s="113"/>
    </row>
    <row r="481">
      <c r="A481" s="113"/>
    </row>
    <row r="482">
      <c r="A482" s="113"/>
    </row>
    <row r="483">
      <c r="A483" s="113"/>
    </row>
    <row r="484">
      <c r="A484" s="113"/>
    </row>
    <row r="485">
      <c r="A485" s="113"/>
    </row>
    <row r="486">
      <c r="A486" s="113"/>
    </row>
    <row r="487">
      <c r="A487" s="113"/>
    </row>
    <row r="488">
      <c r="A488" s="113"/>
    </row>
    <row r="489">
      <c r="A489" s="113"/>
    </row>
    <row r="490">
      <c r="A490" s="113"/>
    </row>
    <row r="491">
      <c r="A491" s="113"/>
    </row>
    <row r="492">
      <c r="A492" s="113"/>
    </row>
    <row r="493">
      <c r="A493" s="113"/>
    </row>
    <row r="494">
      <c r="A494" s="113"/>
    </row>
    <row r="495">
      <c r="A495" s="113"/>
    </row>
    <row r="496">
      <c r="A496" s="113"/>
    </row>
    <row r="497">
      <c r="A497" s="113"/>
    </row>
    <row r="498">
      <c r="A498" s="113"/>
    </row>
    <row r="499">
      <c r="A499" s="113"/>
    </row>
    <row r="500">
      <c r="A500" s="113"/>
    </row>
    <row r="501">
      <c r="A501" s="113"/>
    </row>
    <row r="502">
      <c r="A502" s="113"/>
    </row>
    <row r="503">
      <c r="A503" s="113"/>
    </row>
    <row r="504">
      <c r="A504" s="113"/>
    </row>
    <row r="505">
      <c r="A505" s="113"/>
    </row>
    <row r="506">
      <c r="A506" s="113"/>
    </row>
    <row r="507">
      <c r="A507" s="113"/>
    </row>
    <row r="508">
      <c r="A508" s="113"/>
    </row>
    <row r="509">
      <c r="A509" s="113"/>
    </row>
    <row r="510">
      <c r="A510" s="113"/>
    </row>
    <row r="511">
      <c r="A511" s="113"/>
    </row>
    <row r="512">
      <c r="A512" s="113"/>
    </row>
    <row r="513">
      <c r="A513" s="113"/>
    </row>
    <row r="514">
      <c r="A514" s="113"/>
    </row>
    <row r="515">
      <c r="A515" s="113"/>
    </row>
    <row r="516">
      <c r="A516" s="113"/>
    </row>
    <row r="517">
      <c r="A517" s="113"/>
    </row>
    <row r="518">
      <c r="A518" s="113"/>
    </row>
    <row r="519">
      <c r="A519" s="113"/>
    </row>
    <row r="520">
      <c r="A520" s="113"/>
    </row>
    <row r="521">
      <c r="A521" s="113"/>
    </row>
    <row r="522">
      <c r="A522" s="113"/>
    </row>
    <row r="523">
      <c r="A523" s="113"/>
    </row>
    <row r="524">
      <c r="A524" s="113"/>
    </row>
    <row r="525">
      <c r="A525" s="113"/>
    </row>
    <row r="526">
      <c r="A526" s="113"/>
    </row>
    <row r="527">
      <c r="A527" s="113"/>
    </row>
    <row r="528">
      <c r="A528" s="113"/>
    </row>
    <row r="529">
      <c r="A529" s="113"/>
    </row>
    <row r="530">
      <c r="A530" s="113"/>
    </row>
    <row r="531">
      <c r="A531" s="113"/>
    </row>
    <row r="532">
      <c r="A532" s="113"/>
    </row>
    <row r="533">
      <c r="A533" s="113"/>
    </row>
    <row r="534">
      <c r="A534" s="113"/>
    </row>
    <row r="535">
      <c r="A535" s="113"/>
    </row>
    <row r="536">
      <c r="A536" s="113"/>
    </row>
    <row r="537">
      <c r="A537" s="113"/>
    </row>
    <row r="538">
      <c r="A538" s="113"/>
    </row>
    <row r="539">
      <c r="A539" s="113"/>
    </row>
    <row r="540">
      <c r="A540" s="113"/>
    </row>
    <row r="541">
      <c r="A541" s="113"/>
    </row>
    <row r="542">
      <c r="A542" s="113"/>
    </row>
    <row r="543">
      <c r="A543" s="113"/>
    </row>
    <row r="544">
      <c r="A544" s="113"/>
    </row>
    <row r="545">
      <c r="A545" s="113"/>
    </row>
    <row r="546">
      <c r="A546" s="113"/>
    </row>
    <row r="547">
      <c r="A547" s="113"/>
    </row>
    <row r="548">
      <c r="A548" s="113"/>
    </row>
    <row r="549">
      <c r="A549" s="113"/>
    </row>
    <row r="550">
      <c r="A550" s="113"/>
    </row>
    <row r="551">
      <c r="A551" s="113"/>
    </row>
    <row r="552">
      <c r="A552" s="113"/>
    </row>
    <row r="553">
      <c r="A553" s="113"/>
    </row>
    <row r="554">
      <c r="A554" s="113"/>
    </row>
    <row r="555">
      <c r="A555" s="113"/>
    </row>
    <row r="556">
      <c r="A556" s="113"/>
    </row>
    <row r="557">
      <c r="A557" s="113"/>
    </row>
    <row r="558">
      <c r="A558" s="113"/>
    </row>
    <row r="559">
      <c r="A559" s="113"/>
    </row>
    <row r="560">
      <c r="A560" s="113"/>
    </row>
    <row r="561">
      <c r="A561" s="113"/>
    </row>
    <row r="562">
      <c r="A562" s="113"/>
    </row>
    <row r="563">
      <c r="A563" s="113"/>
    </row>
    <row r="564">
      <c r="A564" s="113"/>
    </row>
    <row r="565">
      <c r="A565" s="113"/>
    </row>
    <row r="566">
      <c r="A566" s="113"/>
    </row>
    <row r="567">
      <c r="A567" s="113"/>
    </row>
    <row r="568">
      <c r="A568" s="113"/>
    </row>
    <row r="569">
      <c r="A569" s="113"/>
    </row>
    <row r="570">
      <c r="A570" s="113"/>
    </row>
    <row r="571">
      <c r="A571" s="113"/>
    </row>
    <row r="572">
      <c r="A572" s="113"/>
    </row>
    <row r="573">
      <c r="A573" s="113"/>
    </row>
    <row r="574">
      <c r="A574" s="113"/>
    </row>
    <row r="575">
      <c r="A575" s="113"/>
    </row>
    <row r="576">
      <c r="A576" s="113"/>
    </row>
    <row r="577">
      <c r="A577" s="113"/>
    </row>
    <row r="578">
      <c r="A578" s="113"/>
    </row>
    <row r="579">
      <c r="A579" s="113"/>
    </row>
    <row r="580">
      <c r="A580" s="113"/>
    </row>
    <row r="581">
      <c r="A581" s="113"/>
    </row>
    <row r="582">
      <c r="A582" s="113"/>
    </row>
    <row r="583">
      <c r="A583" s="113"/>
    </row>
    <row r="584">
      <c r="A584" s="113"/>
    </row>
    <row r="585">
      <c r="A585" s="113"/>
    </row>
    <row r="586">
      <c r="A586" s="113"/>
    </row>
    <row r="587">
      <c r="A587" s="113"/>
    </row>
    <row r="588">
      <c r="A588" s="113"/>
    </row>
    <row r="589">
      <c r="A589" s="113"/>
    </row>
    <row r="590">
      <c r="A590" s="113"/>
    </row>
    <row r="591">
      <c r="A591" s="113"/>
    </row>
    <row r="592">
      <c r="A592" s="113"/>
    </row>
    <row r="593">
      <c r="A593" s="113"/>
    </row>
    <row r="594">
      <c r="A594" s="113"/>
    </row>
    <row r="595">
      <c r="A595" s="113"/>
    </row>
    <row r="596">
      <c r="A596" s="113"/>
    </row>
    <row r="597">
      <c r="A597" s="113"/>
    </row>
    <row r="598">
      <c r="A598" s="113"/>
    </row>
    <row r="599">
      <c r="A599" s="113"/>
    </row>
    <row r="600">
      <c r="A600" s="113"/>
    </row>
    <row r="601">
      <c r="A601" s="113"/>
    </row>
    <row r="602">
      <c r="A602" s="113"/>
    </row>
    <row r="603">
      <c r="A603" s="113"/>
    </row>
    <row r="604">
      <c r="A604" s="113"/>
    </row>
    <row r="605">
      <c r="A605" s="113"/>
    </row>
    <row r="606">
      <c r="A606" s="113"/>
    </row>
    <row r="607">
      <c r="A607" s="113"/>
    </row>
    <row r="608">
      <c r="A608" s="113"/>
    </row>
    <row r="609">
      <c r="A609" s="113"/>
    </row>
    <row r="610">
      <c r="A610" s="113"/>
    </row>
    <row r="611">
      <c r="A611" s="113"/>
    </row>
    <row r="612">
      <c r="A612" s="113"/>
    </row>
    <row r="613">
      <c r="A613" s="113"/>
    </row>
    <row r="614">
      <c r="A614" s="113"/>
    </row>
    <row r="615">
      <c r="A615" s="113"/>
    </row>
    <row r="616">
      <c r="A616" s="113"/>
    </row>
    <row r="617">
      <c r="A617" s="113"/>
    </row>
    <row r="618">
      <c r="A618" s="113"/>
    </row>
    <row r="619">
      <c r="A619" s="113"/>
    </row>
    <row r="620">
      <c r="A620" s="113"/>
    </row>
    <row r="621">
      <c r="A621" s="113"/>
    </row>
    <row r="622">
      <c r="A622" s="113"/>
    </row>
    <row r="623">
      <c r="A623" s="113"/>
    </row>
    <row r="624">
      <c r="A624" s="113"/>
    </row>
    <row r="625">
      <c r="A625" s="113"/>
    </row>
    <row r="626">
      <c r="A626" s="113"/>
    </row>
    <row r="627">
      <c r="A627" s="113"/>
    </row>
    <row r="628">
      <c r="A628" s="113"/>
    </row>
    <row r="629">
      <c r="A629" s="113"/>
    </row>
    <row r="630">
      <c r="A630" s="113"/>
    </row>
    <row r="631">
      <c r="A631" s="113"/>
    </row>
    <row r="632">
      <c r="A632" s="113"/>
    </row>
    <row r="633">
      <c r="A633" s="113"/>
    </row>
    <row r="634">
      <c r="A634" s="113"/>
    </row>
    <row r="635">
      <c r="A635" s="113"/>
    </row>
    <row r="636">
      <c r="A636" s="113"/>
    </row>
    <row r="637">
      <c r="A637" s="113"/>
    </row>
    <row r="638">
      <c r="A638" s="113"/>
    </row>
    <row r="639">
      <c r="A639" s="113"/>
    </row>
    <row r="640">
      <c r="A640" s="113"/>
    </row>
    <row r="641">
      <c r="A641" s="113"/>
    </row>
    <row r="642">
      <c r="A642" s="113"/>
    </row>
    <row r="643">
      <c r="A643" s="113"/>
    </row>
    <row r="644">
      <c r="A644" s="113"/>
    </row>
    <row r="645">
      <c r="A645" s="113"/>
    </row>
    <row r="646">
      <c r="A646" s="113"/>
    </row>
    <row r="647">
      <c r="A647" s="113"/>
    </row>
    <row r="648">
      <c r="A648" s="113"/>
    </row>
    <row r="649">
      <c r="A649" s="113"/>
    </row>
    <row r="650">
      <c r="A650" s="113"/>
    </row>
    <row r="651">
      <c r="A651" s="113"/>
    </row>
    <row r="652">
      <c r="A652" s="113"/>
    </row>
    <row r="653">
      <c r="A653" s="113"/>
    </row>
    <row r="654">
      <c r="A654" s="113"/>
    </row>
    <row r="655">
      <c r="A655" s="113"/>
    </row>
    <row r="656">
      <c r="A656" s="113"/>
    </row>
    <row r="657">
      <c r="A657" s="113"/>
    </row>
    <row r="658">
      <c r="A658" s="113"/>
    </row>
    <row r="659">
      <c r="A659" s="113"/>
    </row>
    <row r="660">
      <c r="A660" s="113"/>
    </row>
    <row r="661">
      <c r="A661" s="113"/>
    </row>
    <row r="662">
      <c r="A662" s="113"/>
    </row>
    <row r="663">
      <c r="A663" s="113"/>
    </row>
    <row r="664">
      <c r="A664" s="113"/>
    </row>
    <row r="665">
      <c r="A665" s="113"/>
    </row>
    <row r="666">
      <c r="A666" s="113"/>
    </row>
    <row r="667">
      <c r="A667" s="113"/>
    </row>
    <row r="668">
      <c r="A668" s="113"/>
    </row>
    <row r="669">
      <c r="A669" s="113"/>
    </row>
    <row r="670">
      <c r="A670" s="113"/>
    </row>
    <row r="671">
      <c r="A671" s="113"/>
    </row>
    <row r="672">
      <c r="A672" s="113"/>
    </row>
    <row r="673">
      <c r="A673" s="113"/>
    </row>
    <row r="674">
      <c r="A674" s="113"/>
    </row>
    <row r="675">
      <c r="A675" s="113"/>
    </row>
    <row r="676">
      <c r="A676" s="113"/>
    </row>
    <row r="677">
      <c r="A677" s="113"/>
    </row>
    <row r="678">
      <c r="A678" s="113"/>
    </row>
    <row r="679">
      <c r="A679" s="113"/>
    </row>
    <row r="680">
      <c r="A680" s="113"/>
    </row>
    <row r="681">
      <c r="A681" s="113"/>
    </row>
    <row r="682">
      <c r="A682" s="113"/>
    </row>
    <row r="683">
      <c r="A683" s="113"/>
    </row>
    <row r="684">
      <c r="A684" s="113"/>
    </row>
    <row r="685">
      <c r="A685" s="113"/>
    </row>
    <row r="686">
      <c r="A686" s="113"/>
    </row>
    <row r="687">
      <c r="A687" s="113"/>
    </row>
    <row r="688">
      <c r="A688" s="113"/>
    </row>
    <row r="689">
      <c r="A689" s="113"/>
    </row>
    <row r="690">
      <c r="A690" s="113"/>
    </row>
    <row r="691">
      <c r="A691" s="113"/>
    </row>
    <row r="692">
      <c r="A692" s="113"/>
    </row>
    <row r="693">
      <c r="A693" s="113"/>
    </row>
    <row r="694">
      <c r="A694" s="113"/>
    </row>
    <row r="695">
      <c r="A695" s="113"/>
    </row>
    <row r="696">
      <c r="A696" s="113"/>
    </row>
    <row r="697">
      <c r="A697" s="113"/>
    </row>
    <row r="698">
      <c r="A698" s="113"/>
    </row>
    <row r="699">
      <c r="A699" s="113"/>
    </row>
    <row r="700">
      <c r="A700" s="113"/>
    </row>
    <row r="701">
      <c r="A701" s="113"/>
    </row>
    <row r="702">
      <c r="A702" s="113"/>
    </row>
    <row r="703">
      <c r="A703" s="113"/>
    </row>
    <row r="704">
      <c r="A704" s="113"/>
    </row>
    <row r="705">
      <c r="A705" s="113"/>
    </row>
    <row r="706">
      <c r="A706" s="113"/>
    </row>
    <row r="707">
      <c r="A707" s="113"/>
    </row>
    <row r="708">
      <c r="A708" s="113"/>
    </row>
    <row r="709">
      <c r="A709" s="113"/>
    </row>
    <row r="710">
      <c r="A710" s="113"/>
    </row>
    <row r="711">
      <c r="A711" s="113"/>
    </row>
    <row r="712">
      <c r="A712" s="113"/>
    </row>
    <row r="713">
      <c r="A713" s="113"/>
    </row>
    <row r="714">
      <c r="A714" s="113"/>
    </row>
    <row r="715">
      <c r="A715" s="113"/>
    </row>
    <row r="716">
      <c r="A716" s="113"/>
    </row>
    <row r="717">
      <c r="A717" s="113"/>
    </row>
    <row r="718">
      <c r="A718" s="113"/>
    </row>
    <row r="719">
      <c r="A719" s="113"/>
    </row>
    <row r="720">
      <c r="A720" s="113"/>
    </row>
    <row r="721">
      <c r="A721" s="113"/>
    </row>
    <row r="722">
      <c r="A722" s="113"/>
    </row>
    <row r="723">
      <c r="A723" s="113"/>
    </row>
    <row r="724">
      <c r="A724" s="113"/>
    </row>
    <row r="725">
      <c r="A725" s="113"/>
    </row>
    <row r="726">
      <c r="A726" s="113"/>
    </row>
    <row r="727">
      <c r="A727" s="113"/>
    </row>
    <row r="728">
      <c r="A728" s="113"/>
    </row>
    <row r="729">
      <c r="A729" s="113"/>
    </row>
    <row r="730">
      <c r="A730" s="113"/>
    </row>
    <row r="731">
      <c r="A731" s="113"/>
    </row>
    <row r="732">
      <c r="A732" s="113"/>
    </row>
    <row r="733">
      <c r="A733" s="113"/>
    </row>
    <row r="734">
      <c r="A734" s="113"/>
    </row>
    <row r="735">
      <c r="A735" s="113"/>
    </row>
    <row r="736">
      <c r="A736" s="113"/>
    </row>
    <row r="737">
      <c r="A737" s="113"/>
    </row>
    <row r="738">
      <c r="A738" s="113"/>
    </row>
    <row r="739">
      <c r="A739" s="113"/>
    </row>
    <row r="740">
      <c r="A740" s="113"/>
    </row>
    <row r="741">
      <c r="A741" s="113"/>
    </row>
    <row r="742">
      <c r="A742" s="113"/>
    </row>
    <row r="743">
      <c r="A743" s="113"/>
    </row>
    <row r="744">
      <c r="A744" s="113"/>
    </row>
    <row r="745">
      <c r="A745" s="113"/>
    </row>
    <row r="746">
      <c r="A746" s="113"/>
    </row>
    <row r="747">
      <c r="A747" s="113"/>
    </row>
    <row r="748">
      <c r="A748" s="113"/>
    </row>
    <row r="749">
      <c r="A749" s="113"/>
    </row>
    <row r="750">
      <c r="A750" s="113"/>
    </row>
    <row r="751">
      <c r="A751" s="113"/>
    </row>
    <row r="752">
      <c r="A752" s="113"/>
    </row>
    <row r="753">
      <c r="A753" s="113"/>
    </row>
    <row r="754">
      <c r="A754" s="113"/>
    </row>
    <row r="755">
      <c r="A755" s="113"/>
    </row>
    <row r="756">
      <c r="A756" s="113"/>
    </row>
    <row r="757">
      <c r="A757" s="113"/>
    </row>
    <row r="758">
      <c r="A758" s="113"/>
    </row>
    <row r="759">
      <c r="A759" s="113"/>
    </row>
    <row r="760">
      <c r="A760" s="113"/>
    </row>
    <row r="761">
      <c r="A761" s="113"/>
    </row>
    <row r="762">
      <c r="A762" s="113"/>
    </row>
    <row r="763">
      <c r="A763" s="113"/>
    </row>
    <row r="764">
      <c r="A764" s="113"/>
    </row>
    <row r="765">
      <c r="A765" s="113"/>
    </row>
    <row r="766">
      <c r="A766" s="113"/>
    </row>
    <row r="767">
      <c r="A767" s="113"/>
    </row>
    <row r="768">
      <c r="A768" s="113"/>
    </row>
    <row r="769">
      <c r="A769" s="113"/>
    </row>
    <row r="770">
      <c r="A770" s="113"/>
    </row>
    <row r="771">
      <c r="A771" s="113"/>
    </row>
    <row r="772">
      <c r="A772" s="113"/>
    </row>
    <row r="773">
      <c r="A773" s="113"/>
    </row>
    <row r="774">
      <c r="A774" s="113"/>
    </row>
    <row r="775">
      <c r="A775" s="113"/>
    </row>
    <row r="776">
      <c r="A776" s="113"/>
    </row>
    <row r="777">
      <c r="A777" s="113"/>
    </row>
    <row r="778">
      <c r="A778" s="113"/>
    </row>
    <row r="779">
      <c r="A779" s="113"/>
    </row>
    <row r="780">
      <c r="A780" s="113"/>
    </row>
    <row r="781">
      <c r="A781" s="113"/>
    </row>
    <row r="782">
      <c r="A782" s="113"/>
    </row>
    <row r="783">
      <c r="A783" s="113"/>
    </row>
    <row r="784">
      <c r="A784" s="113"/>
    </row>
    <row r="785">
      <c r="A785" s="113"/>
    </row>
    <row r="786">
      <c r="A786" s="113"/>
    </row>
    <row r="787">
      <c r="A787" s="113"/>
    </row>
    <row r="788">
      <c r="A788" s="113"/>
    </row>
    <row r="789">
      <c r="A789" s="113"/>
    </row>
    <row r="790">
      <c r="A790" s="113"/>
    </row>
    <row r="791">
      <c r="A791" s="113"/>
    </row>
    <row r="792">
      <c r="A792" s="113"/>
    </row>
    <row r="793">
      <c r="A793" s="113"/>
    </row>
    <row r="794">
      <c r="A794" s="113"/>
    </row>
    <row r="795">
      <c r="A795" s="113"/>
    </row>
    <row r="796">
      <c r="A796" s="113"/>
    </row>
    <row r="797">
      <c r="A797" s="113"/>
    </row>
    <row r="798">
      <c r="A798" s="113"/>
    </row>
    <row r="799">
      <c r="A799" s="113"/>
    </row>
    <row r="800">
      <c r="A800" s="113"/>
    </row>
    <row r="801">
      <c r="A801" s="113"/>
    </row>
    <row r="802">
      <c r="A802" s="113"/>
    </row>
    <row r="803">
      <c r="A803" s="113"/>
    </row>
    <row r="804">
      <c r="A804" s="113"/>
    </row>
    <row r="805">
      <c r="A805" s="113"/>
    </row>
    <row r="806">
      <c r="A806" s="113"/>
    </row>
    <row r="807">
      <c r="A807" s="113"/>
    </row>
    <row r="808">
      <c r="A808" s="113"/>
    </row>
    <row r="809">
      <c r="A809" s="113"/>
    </row>
    <row r="810">
      <c r="A810" s="113"/>
    </row>
    <row r="811">
      <c r="A811" s="113"/>
    </row>
    <row r="812">
      <c r="A812" s="113"/>
    </row>
    <row r="813">
      <c r="A813" s="113"/>
    </row>
    <row r="814">
      <c r="A814" s="113"/>
    </row>
    <row r="815">
      <c r="A815" s="113"/>
    </row>
    <row r="816">
      <c r="A816" s="113"/>
    </row>
    <row r="817">
      <c r="A817" s="113"/>
    </row>
    <row r="818">
      <c r="A818" s="113"/>
    </row>
    <row r="819">
      <c r="A819" s="113"/>
    </row>
    <row r="820">
      <c r="A820" s="113"/>
    </row>
    <row r="821">
      <c r="A821" s="113"/>
    </row>
    <row r="822">
      <c r="A822" s="113"/>
    </row>
    <row r="823">
      <c r="A823" s="113"/>
    </row>
    <row r="824">
      <c r="A824" s="113"/>
    </row>
    <row r="825">
      <c r="A825" s="113"/>
    </row>
    <row r="826">
      <c r="A826" s="113"/>
    </row>
    <row r="827">
      <c r="A827" s="113"/>
    </row>
    <row r="828">
      <c r="A828" s="113"/>
    </row>
    <row r="829">
      <c r="A829" s="113"/>
    </row>
    <row r="830">
      <c r="A830" s="113"/>
    </row>
    <row r="831">
      <c r="A831" s="113"/>
    </row>
    <row r="832">
      <c r="A832" s="113"/>
    </row>
    <row r="833">
      <c r="A833" s="113"/>
    </row>
    <row r="834">
      <c r="A834" s="113"/>
    </row>
    <row r="835">
      <c r="A835" s="113"/>
    </row>
    <row r="836">
      <c r="A836" s="113"/>
    </row>
    <row r="837">
      <c r="A837" s="113"/>
    </row>
    <row r="838">
      <c r="A838" s="113"/>
    </row>
    <row r="839">
      <c r="A839" s="113"/>
    </row>
    <row r="840">
      <c r="A840" s="113"/>
    </row>
    <row r="841">
      <c r="A841" s="113"/>
    </row>
    <row r="842">
      <c r="A842" s="113"/>
    </row>
    <row r="843">
      <c r="A843" s="113"/>
    </row>
    <row r="844">
      <c r="A844" s="113"/>
    </row>
    <row r="845">
      <c r="A845" s="113"/>
    </row>
    <row r="846">
      <c r="A846" s="113"/>
    </row>
    <row r="847">
      <c r="A847" s="113"/>
    </row>
    <row r="848">
      <c r="A848" s="113"/>
    </row>
    <row r="849">
      <c r="A849" s="113"/>
    </row>
    <row r="850">
      <c r="A850" s="113"/>
    </row>
    <row r="851">
      <c r="A851" s="113"/>
    </row>
    <row r="852">
      <c r="A852" s="113"/>
    </row>
    <row r="853">
      <c r="A853" s="113"/>
    </row>
    <row r="854">
      <c r="A854" s="113"/>
    </row>
    <row r="855">
      <c r="A855" s="113"/>
    </row>
    <row r="856">
      <c r="A856" s="113"/>
    </row>
    <row r="857">
      <c r="A857" s="113"/>
    </row>
    <row r="858">
      <c r="A858" s="113"/>
    </row>
    <row r="859">
      <c r="A859" s="113"/>
    </row>
    <row r="860">
      <c r="A860" s="113"/>
    </row>
    <row r="861">
      <c r="A861" s="113"/>
    </row>
    <row r="862">
      <c r="A862" s="113"/>
    </row>
    <row r="863">
      <c r="A863" s="113"/>
    </row>
    <row r="864">
      <c r="A864" s="113"/>
    </row>
    <row r="865">
      <c r="A865" s="113"/>
    </row>
    <row r="866">
      <c r="A866" s="113"/>
    </row>
    <row r="867">
      <c r="A867" s="113"/>
    </row>
    <row r="868">
      <c r="A868" s="113"/>
    </row>
    <row r="869">
      <c r="A869" s="113"/>
    </row>
    <row r="870">
      <c r="A870" s="113"/>
    </row>
    <row r="871">
      <c r="A871" s="113"/>
    </row>
    <row r="872">
      <c r="A872" s="113"/>
    </row>
    <row r="873">
      <c r="A873" s="113"/>
    </row>
    <row r="874">
      <c r="A874" s="113"/>
    </row>
    <row r="875">
      <c r="A875" s="113"/>
    </row>
    <row r="876">
      <c r="A876" s="113"/>
    </row>
    <row r="877">
      <c r="A877" s="113"/>
    </row>
    <row r="878">
      <c r="A878" s="113"/>
    </row>
    <row r="879">
      <c r="A879" s="113"/>
    </row>
    <row r="880">
      <c r="A880" s="113"/>
    </row>
    <row r="881">
      <c r="A881" s="113"/>
    </row>
    <row r="882">
      <c r="A882" s="113"/>
    </row>
    <row r="883">
      <c r="A883" s="113"/>
    </row>
    <row r="884">
      <c r="A884" s="113"/>
    </row>
    <row r="885">
      <c r="A885" s="113"/>
    </row>
    <row r="886">
      <c r="A886" s="113"/>
    </row>
    <row r="887">
      <c r="A887" s="113"/>
    </row>
    <row r="888">
      <c r="A888" s="113"/>
    </row>
    <row r="889">
      <c r="A889" s="113"/>
    </row>
    <row r="890">
      <c r="A890" s="113"/>
    </row>
    <row r="891">
      <c r="A891" s="113"/>
    </row>
    <row r="892">
      <c r="A892" s="113"/>
    </row>
    <row r="893">
      <c r="A893" s="113"/>
    </row>
    <row r="894">
      <c r="A894" s="113"/>
    </row>
    <row r="895">
      <c r="A895" s="113"/>
    </row>
    <row r="896">
      <c r="A896" s="113"/>
    </row>
    <row r="897">
      <c r="A897" s="113"/>
    </row>
    <row r="898">
      <c r="A898" s="113"/>
    </row>
    <row r="899">
      <c r="A899" s="113"/>
    </row>
    <row r="900">
      <c r="A900" s="113"/>
    </row>
    <row r="901">
      <c r="A901" s="113"/>
    </row>
    <row r="902">
      <c r="A902" s="113"/>
    </row>
    <row r="903">
      <c r="A903" s="113"/>
    </row>
    <row r="904">
      <c r="A904" s="113"/>
    </row>
    <row r="905">
      <c r="A905" s="113"/>
    </row>
    <row r="906">
      <c r="A906" s="113"/>
    </row>
    <row r="907">
      <c r="A907" s="113"/>
    </row>
    <row r="908">
      <c r="A908" s="113"/>
    </row>
    <row r="909">
      <c r="A909" s="113"/>
    </row>
    <row r="910">
      <c r="A910" s="113"/>
    </row>
    <row r="911">
      <c r="A911" s="113"/>
    </row>
    <row r="912">
      <c r="A912" s="113"/>
    </row>
    <row r="913">
      <c r="A913" s="113"/>
    </row>
    <row r="914">
      <c r="A914" s="113"/>
    </row>
    <row r="915">
      <c r="A915" s="113"/>
    </row>
    <row r="916">
      <c r="A916" s="113"/>
    </row>
    <row r="917">
      <c r="A917" s="113"/>
    </row>
    <row r="918">
      <c r="A918" s="113"/>
    </row>
    <row r="919">
      <c r="A919" s="113"/>
    </row>
    <row r="920">
      <c r="A920" s="113"/>
    </row>
    <row r="921">
      <c r="A921" s="113"/>
    </row>
    <row r="922">
      <c r="A922" s="113"/>
    </row>
    <row r="923">
      <c r="A923" s="113"/>
    </row>
    <row r="924">
      <c r="A924" s="113"/>
    </row>
    <row r="925">
      <c r="A925" s="113"/>
    </row>
    <row r="926">
      <c r="A926" s="113"/>
    </row>
    <row r="927">
      <c r="A927" s="113"/>
    </row>
    <row r="928">
      <c r="A928" s="113"/>
    </row>
    <row r="929">
      <c r="A929" s="113"/>
    </row>
    <row r="930">
      <c r="A930" s="113"/>
    </row>
    <row r="931">
      <c r="A931" s="113"/>
    </row>
    <row r="932">
      <c r="A932" s="113"/>
    </row>
    <row r="933">
      <c r="A933" s="113"/>
    </row>
    <row r="934">
      <c r="A934" s="113"/>
    </row>
    <row r="935">
      <c r="A935" s="113"/>
    </row>
    <row r="936">
      <c r="A936" s="113"/>
    </row>
    <row r="937">
      <c r="A937" s="113"/>
    </row>
    <row r="938">
      <c r="A938" s="113"/>
    </row>
    <row r="939">
      <c r="A939" s="113"/>
    </row>
    <row r="940">
      <c r="A940" s="113"/>
    </row>
    <row r="941">
      <c r="A941" s="113"/>
    </row>
    <row r="942">
      <c r="A942" s="113"/>
    </row>
    <row r="943">
      <c r="A943" s="113"/>
    </row>
    <row r="944">
      <c r="A944" s="113"/>
    </row>
    <row r="945">
      <c r="A945" s="113"/>
    </row>
    <row r="946">
      <c r="A946" s="113"/>
    </row>
    <row r="947">
      <c r="A947" s="113"/>
    </row>
    <row r="948">
      <c r="A948" s="113"/>
    </row>
    <row r="949">
      <c r="A949" s="113"/>
    </row>
    <row r="950">
      <c r="A950" s="113"/>
    </row>
    <row r="951">
      <c r="A951" s="113"/>
    </row>
    <row r="952">
      <c r="A952" s="113"/>
    </row>
    <row r="953">
      <c r="A953" s="113"/>
    </row>
    <row r="954">
      <c r="A954" s="113"/>
    </row>
    <row r="955">
      <c r="A955" s="113"/>
    </row>
    <row r="956">
      <c r="A956" s="113"/>
    </row>
    <row r="957">
      <c r="A957" s="113"/>
    </row>
    <row r="958">
      <c r="A958" s="113"/>
    </row>
    <row r="959">
      <c r="A959" s="113"/>
    </row>
    <row r="960">
      <c r="A960" s="113"/>
    </row>
    <row r="961">
      <c r="A961" s="113"/>
    </row>
    <row r="962">
      <c r="A962" s="113"/>
    </row>
    <row r="963">
      <c r="A963" s="113"/>
    </row>
    <row r="964">
      <c r="A964" s="113"/>
    </row>
    <row r="965">
      <c r="A965" s="113"/>
    </row>
    <row r="966">
      <c r="A966" s="113"/>
    </row>
    <row r="967">
      <c r="A967" s="113"/>
    </row>
    <row r="968">
      <c r="A968" s="113"/>
    </row>
    <row r="969">
      <c r="A969" s="113"/>
    </row>
    <row r="970">
      <c r="A970" s="113"/>
    </row>
    <row r="971">
      <c r="A971" s="113"/>
    </row>
    <row r="972">
      <c r="A972" s="113"/>
    </row>
    <row r="973">
      <c r="A973" s="113"/>
    </row>
    <row r="974">
      <c r="A974" s="113"/>
    </row>
    <row r="975">
      <c r="A975" s="113"/>
    </row>
    <row r="976">
      <c r="A976" s="113"/>
    </row>
    <row r="977">
      <c r="A977" s="113"/>
    </row>
    <row r="978">
      <c r="A978" s="113"/>
    </row>
    <row r="979">
      <c r="A979" s="113"/>
    </row>
    <row r="980">
      <c r="A980" s="113"/>
    </row>
    <row r="981">
      <c r="A981" s="113"/>
    </row>
    <row r="982">
      <c r="A982" s="113"/>
    </row>
    <row r="983">
      <c r="A983" s="113"/>
    </row>
    <row r="984">
      <c r="A984" s="113"/>
    </row>
    <row r="985">
      <c r="A985" s="113"/>
    </row>
    <row r="986">
      <c r="A986" s="113"/>
    </row>
    <row r="987">
      <c r="A987" s="113"/>
    </row>
    <row r="988">
      <c r="A988" s="113"/>
    </row>
    <row r="989">
      <c r="A989" s="113"/>
    </row>
    <row r="990">
      <c r="A990" s="113"/>
    </row>
    <row r="991">
      <c r="A991" s="113"/>
    </row>
    <row r="992">
      <c r="A992" s="113"/>
    </row>
    <row r="993">
      <c r="A993" s="113"/>
    </row>
    <row r="994">
      <c r="A994" s="113"/>
    </row>
    <row r="995">
      <c r="A995" s="113"/>
    </row>
    <row r="996">
      <c r="A996" s="113"/>
    </row>
    <row r="997">
      <c r="A997" s="113"/>
    </row>
    <row r="998">
      <c r="A998" s="113"/>
    </row>
    <row r="999">
      <c r="A999" s="113"/>
    </row>
    <row r="1000">
      <c r="A1000" s="113"/>
    </row>
    <row r="1001">
      <c r="A1001" s="113"/>
    </row>
    <row r="1002">
      <c r="A1002" s="113"/>
    </row>
  </sheetData>
  <mergeCells count="20">
    <mergeCell ref="A1:C1"/>
    <mergeCell ref="A2:A6"/>
    <mergeCell ref="A7:A11"/>
    <mergeCell ref="A12:A15"/>
    <mergeCell ref="A16:A19"/>
    <mergeCell ref="A20:A23"/>
    <mergeCell ref="A24:A27"/>
    <mergeCell ref="A56:A59"/>
    <mergeCell ref="A60:A63"/>
    <mergeCell ref="A64:A67"/>
    <mergeCell ref="A68:A71"/>
    <mergeCell ref="A72:A75"/>
    <mergeCell ref="A76:A79"/>
    <mergeCell ref="A28:A31"/>
    <mergeCell ref="A32:A35"/>
    <mergeCell ref="A36:A39"/>
    <mergeCell ref="A40:A43"/>
    <mergeCell ref="A44:A47"/>
    <mergeCell ref="A48:A51"/>
    <mergeCell ref="A52:A55"/>
  </mergeCells>
  <hyperlinks>
    <hyperlink r:id="rId1" ref="C26"/>
  </hyperlinks>
  <drawing r:id="rId2"/>
</worksheet>
</file>